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hidePivotFieldList="1"/>
  <mc:AlternateContent xmlns:mc="http://schemas.openxmlformats.org/markup-compatibility/2006">
    <mc:Choice Requires="x15">
      <x15ac:absPath xmlns:x15ac="http://schemas.microsoft.com/office/spreadsheetml/2010/11/ac" url="C:\Users\BINOY V V\Downloads\"/>
    </mc:Choice>
  </mc:AlternateContent>
  <xr:revisionPtr revIDLastSave="0" documentId="13_ncr:1_{2E485372-CCC2-42FC-9B97-9079904B6BE7}" xr6:coauthVersionLast="47" xr6:coauthVersionMax="47" xr10:uidLastSave="{00000000-0000-0000-0000-000000000000}"/>
  <bookViews>
    <workbookView xWindow="-108" yWindow="-108" windowWidth="23256" windowHeight="12456" activeTab="4" xr2:uid="{26D4546B-D2A1-4444-8EAF-A6228F96F0C1}"/>
  </bookViews>
  <sheets>
    <sheet name="Sheet4" sheetId="8" r:id="rId1"/>
    <sheet name="Sheet1" sheetId="9" r:id="rId2"/>
    <sheet name="Data" sheetId="2" r:id="rId3"/>
    <sheet name="Assets" sheetId="4" r:id="rId4"/>
    <sheet name="Dashboard" sheetId="5" r:id="rId5"/>
  </sheets>
  <definedNames>
    <definedName name="_xlnm._FilterDatabase" localSheetId="2" hidden="1">Data!$B$3:$H$1003</definedName>
    <definedName name="_xlcn.WorksheetConnection_07.sampledataexcelportfolioproject.xlsxcalls" hidden="1">calls[]</definedName>
    <definedName name="_xlcn.WorksheetConnection_07.sampledataexcelportfolioproject.xlsxcustomers" hidden="1">customers[]</definedName>
    <definedName name="Slicer_Representative">#N/A</definedName>
  </definedNames>
  <calcPr calcId="191029"/>
  <pivotCaches>
    <pivotCache cacheId="0" r:id="rId6"/>
    <pivotCache cacheId="1" r:id="rId7"/>
    <pivotCache cacheId="2" r:id="rId8"/>
    <pivotCache cacheId="3" r:id="rId9"/>
    <pivotCache cacheId="4" r:id="rId10"/>
    <pivotCache cacheId="58" r:id="rId11"/>
    <pivotCache cacheId="61" r:id="rId12"/>
    <pivotCache cacheId="64" r:id="rId13"/>
    <pivotCache cacheId="67" r:id="rId14"/>
    <pivotCache cacheId="70"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9" i="5" l="1" a="1"/>
  <c r="P18" i="5" a="1"/>
  <c r="L1003" i="2"/>
  <c r="K1003" i="2" a="1"/>
  <c r="J1003" i="2"/>
  <c r="I1003" i="2"/>
  <c r="L1002" i="2"/>
  <c r="K1002" i="2" a="1"/>
  <c r="J1002" i="2"/>
  <c r="I1002" i="2"/>
  <c r="L1001" i="2"/>
  <c r="K1001" i="2" a="1"/>
  <c r="J1001" i="2"/>
  <c r="I1001" i="2"/>
  <c r="L1000" i="2"/>
  <c r="K1000" i="2" a="1"/>
  <c r="J1000" i="2"/>
  <c r="I1000" i="2"/>
  <c r="L999" i="2"/>
  <c r="K999" i="2" a="1"/>
  <c r="J999" i="2"/>
  <c r="I999" i="2"/>
  <c r="L998" i="2"/>
  <c r="K998" i="2" a="1"/>
  <c r="J998" i="2"/>
  <c r="I998" i="2"/>
  <c r="L997" i="2"/>
  <c r="K997" i="2" a="1"/>
  <c r="J997" i="2"/>
  <c r="I997" i="2"/>
  <c r="L996" i="2"/>
  <c r="K996" i="2" a="1"/>
  <c r="J996" i="2"/>
  <c r="I996" i="2"/>
  <c r="L995" i="2"/>
  <c r="K995" i="2" a="1"/>
  <c r="J995" i="2"/>
  <c r="I995" i="2"/>
  <c r="L994" i="2"/>
  <c r="K994" i="2" a="1"/>
  <c r="J994" i="2"/>
  <c r="I994" i="2"/>
  <c r="L993" i="2"/>
  <c r="K993" i="2" a="1"/>
  <c r="J993" i="2"/>
  <c r="I993" i="2"/>
  <c r="L992" i="2"/>
  <c r="K992" i="2" a="1"/>
  <c r="J992" i="2"/>
  <c r="I992" i="2"/>
  <c r="L991" i="2"/>
  <c r="K991" i="2" a="1"/>
  <c r="J991" i="2"/>
  <c r="I991" i="2"/>
  <c r="L990" i="2"/>
  <c r="K990" i="2" a="1"/>
  <c r="J990" i="2"/>
  <c r="I990" i="2"/>
  <c r="L989" i="2"/>
  <c r="K989" i="2" a="1"/>
  <c r="J989" i="2"/>
  <c r="I989" i="2"/>
  <c r="L988" i="2"/>
  <c r="K988" i="2" a="1"/>
  <c r="J988" i="2"/>
  <c r="I988" i="2"/>
  <c r="L987" i="2"/>
  <c r="K987" i="2" a="1"/>
  <c r="J987" i="2"/>
  <c r="I987" i="2"/>
  <c r="L986" i="2"/>
  <c r="K986" i="2" a="1"/>
  <c r="J986" i="2"/>
  <c r="I986" i="2"/>
  <c r="L985" i="2"/>
  <c r="K985" i="2" a="1"/>
  <c r="J985" i="2"/>
  <c r="I985" i="2"/>
  <c r="L984" i="2"/>
  <c r="K984" i="2" a="1"/>
  <c r="J984" i="2"/>
  <c r="I984" i="2"/>
  <c r="L983" i="2"/>
  <c r="K983" i="2" a="1"/>
  <c r="J983" i="2"/>
  <c r="I983" i="2"/>
  <c r="L982" i="2"/>
  <c r="K982" i="2" a="1"/>
  <c r="J982" i="2"/>
  <c r="I982" i="2"/>
  <c r="L981" i="2"/>
  <c r="K981" i="2" a="1"/>
  <c r="J981" i="2"/>
  <c r="I981" i="2"/>
  <c r="L980" i="2"/>
  <c r="K980" i="2" a="1"/>
  <c r="J980" i="2"/>
  <c r="I980" i="2"/>
  <c r="L979" i="2"/>
  <c r="K979" i="2" a="1"/>
  <c r="J979" i="2"/>
  <c r="I979" i="2"/>
  <c r="L978" i="2"/>
  <c r="K978" i="2" a="1"/>
  <c r="J978" i="2"/>
  <c r="I978" i="2"/>
  <c r="L977" i="2"/>
  <c r="K977" i="2" a="1"/>
  <c r="J977" i="2"/>
  <c r="I977" i="2"/>
  <c r="L976" i="2"/>
  <c r="K976" i="2" a="1"/>
  <c r="J976" i="2"/>
  <c r="I976" i="2"/>
  <c r="L975" i="2"/>
  <c r="K975" i="2" a="1"/>
  <c r="J975" i="2"/>
  <c r="I975" i="2"/>
  <c r="L974" i="2"/>
  <c r="K974" i="2" a="1"/>
  <c r="J974" i="2"/>
  <c r="I974" i="2"/>
  <c r="L973" i="2"/>
  <c r="K973" i="2" a="1"/>
  <c r="J973" i="2"/>
  <c r="I973" i="2"/>
  <c r="L972" i="2"/>
  <c r="K972" i="2" a="1"/>
  <c r="J972" i="2"/>
  <c r="I972" i="2"/>
  <c r="L971" i="2"/>
  <c r="K971" i="2" a="1"/>
  <c r="J971" i="2"/>
  <c r="I971" i="2"/>
  <c r="L970" i="2"/>
  <c r="K970" i="2" a="1"/>
  <c r="J970" i="2"/>
  <c r="I970" i="2"/>
  <c r="L969" i="2"/>
  <c r="K969" i="2" a="1"/>
  <c r="J969" i="2"/>
  <c r="I969" i="2"/>
  <c r="L968" i="2"/>
  <c r="K968" i="2" a="1"/>
  <c r="J968" i="2"/>
  <c r="I968" i="2"/>
  <c r="L967" i="2"/>
  <c r="K967" i="2" a="1"/>
  <c r="J967" i="2"/>
  <c r="I967" i="2"/>
  <c r="L966" i="2"/>
  <c r="K966" i="2" a="1"/>
  <c r="J966" i="2"/>
  <c r="I966" i="2"/>
  <c r="L965" i="2"/>
  <c r="K965" i="2" a="1"/>
  <c r="J965" i="2"/>
  <c r="I965" i="2"/>
  <c r="L964" i="2"/>
  <c r="K964" i="2" a="1"/>
  <c r="J964" i="2"/>
  <c r="I964" i="2"/>
  <c r="L963" i="2"/>
  <c r="K963" i="2" a="1"/>
  <c r="J963" i="2"/>
  <c r="I963" i="2"/>
  <c r="L962" i="2"/>
  <c r="K962" i="2" a="1"/>
  <c r="J962" i="2"/>
  <c r="I962" i="2"/>
  <c r="L961" i="2"/>
  <c r="K961" i="2" a="1"/>
  <c r="J961" i="2"/>
  <c r="I961" i="2"/>
  <c r="L960" i="2"/>
  <c r="K960" i="2" a="1"/>
  <c r="J960" i="2"/>
  <c r="I960" i="2"/>
  <c r="L959" i="2"/>
  <c r="K959" i="2" a="1"/>
  <c r="J959" i="2"/>
  <c r="I959" i="2"/>
  <c r="L958" i="2"/>
  <c r="K958" i="2" a="1"/>
  <c r="J958" i="2"/>
  <c r="I958" i="2"/>
  <c r="L957" i="2"/>
  <c r="K957" i="2" a="1"/>
  <c r="J957" i="2"/>
  <c r="I957" i="2"/>
  <c r="L956" i="2"/>
  <c r="K956" i="2" a="1"/>
  <c r="J956" i="2"/>
  <c r="I956" i="2"/>
  <c r="L955" i="2"/>
  <c r="K955" i="2" a="1"/>
  <c r="J955" i="2"/>
  <c r="I955" i="2"/>
  <c r="L954" i="2"/>
  <c r="K954" i="2" a="1"/>
  <c r="J954" i="2"/>
  <c r="I954" i="2"/>
  <c r="L953" i="2"/>
  <c r="K953" i="2" a="1"/>
  <c r="J953" i="2"/>
  <c r="I953" i="2"/>
  <c r="L952" i="2"/>
  <c r="K952" i="2" a="1"/>
  <c r="J952" i="2"/>
  <c r="I952" i="2"/>
  <c r="L951" i="2"/>
  <c r="K951" i="2" a="1"/>
  <c r="J951" i="2"/>
  <c r="I951" i="2"/>
  <c r="L950" i="2"/>
  <c r="K950" i="2" a="1"/>
  <c r="J950" i="2"/>
  <c r="I950" i="2"/>
  <c r="L949" i="2"/>
  <c r="K949" i="2" a="1"/>
  <c r="J949" i="2"/>
  <c r="I949" i="2"/>
  <c r="L948" i="2"/>
  <c r="K948" i="2" a="1"/>
  <c r="J948" i="2"/>
  <c r="I948" i="2"/>
  <c r="L947" i="2"/>
  <c r="K947" i="2" a="1"/>
  <c r="J947" i="2"/>
  <c r="I947" i="2"/>
  <c r="L946" i="2"/>
  <c r="K946" i="2" a="1"/>
  <c r="J946" i="2"/>
  <c r="I946" i="2"/>
  <c r="L945" i="2"/>
  <c r="K945" i="2" a="1"/>
  <c r="J945" i="2"/>
  <c r="I945" i="2"/>
  <c r="L944" i="2"/>
  <c r="K944" i="2" a="1"/>
  <c r="J944" i="2"/>
  <c r="I944" i="2"/>
  <c r="L943" i="2"/>
  <c r="K943" i="2" a="1"/>
  <c r="J943" i="2"/>
  <c r="I943" i="2"/>
  <c r="L942" i="2"/>
  <c r="K942" i="2" a="1"/>
  <c r="J942" i="2"/>
  <c r="I942" i="2"/>
  <c r="L941" i="2"/>
  <c r="K941" i="2" a="1"/>
  <c r="J941" i="2"/>
  <c r="I941" i="2"/>
  <c r="L940" i="2"/>
  <c r="K940" i="2" a="1"/>
  <c r="J940" i="2"/>
  <c r="I940" i="2"/>
  <c r="L939" i="2"/>
  <c r="K939" i="2" a="1"/>
  <c r="J939" i="2"/>
  <c r="I939" i="2"/>
  <c r="L938" i="2"/>
  <c r="K938" i="2" a="1"/>
  <c r="J938" i="2"/>
  <c r="I938" i="2"/>
  <c r="L937" i="2"/>
  <c r="K937" i="2" a="1"/>
  <c r="J937" i="2"/>
  <c r="I937" i="2"/>
  <c r="L936" i="2"/>
  <c r="K936" i="2" a="1"/>
  <c r="J936" i="2"/>
  <c r="I936" i="2"/>
  <c r="L935" i="2"/>
  <c r="K935" i="2" a="1"/>
  <c r="J935" i="2"/>
  <c r="I935" i="2"/>
  <c r="L934" i="2"/>
  <c r="K934" i="2" a="1"/>
  <c r="J934" i="2"/>
  <c r="I934" i="2"/>
  <c r="L933" i="2"/>
  <c r="K933" i="2" a="1"/>
  <c r="J933" i="2"/>
  <c r="I933" i="2"/>
  <c r="L932" i="2"/>
  <c r="K932" i="2" a="1"/>
  <c r="J932" i="2"/>
  <c r="I932" i="2"/>
  <c r="L931" i="2"/>
  <c r="K931" i="2" a="1"/>
  <c r="J931" i="2"/>
  <c r="I931" i="2"/>
  <c r="L930" i="2"/>
  <c r="K930" i="2" a="1"/>
  <c r="J930" i="2"/>
  <c r="I930" i="2"/>
  <c r="L929" i="2"/>
  <c r="K929" i="2" a="1"/>
  <c r="J929" i="2"/>
  <c r="I929" i="2"/>
  <c r="L928" i="2"/>
  <c r="K928" i="2" a="1"/>
  <c r="J928" i="2"/>
  <c r="I928" i="2"/>
  <c r="L927" i="2"/>
  <c r="K927" i="2" a="1"/>
  <c r="J927" i="2"/>
  <c r="I927" i="2"/>
  <c r="L926" i="2"/>
  <c r="K926" i="2" a="1"/>
  <c r="J926" i="2"/>
  <c r="I926" i="2"/>
  <c r="L925" i="2"/>
  <c r="K925" i="2" a="1"/>
  <c r="J925" i="2"/>
  <c r="I925" i="2"/>
  <c r="L924" i="2"/>
  <c r="K924" i="2" a="1"/>
  <c r="J924" i="2"/>
  <c r="I924" i="2"/>
  <c r="L923" i="2"/>
  <c r="K923" i="2" a="1"/>
  <c r="J923" i="2"/>
  <c r="I923" i="2"/>
  <c r="L922" i="2"/>
  <c r="K922" i="2" a="1"/>
  <c r="J922" i="2"/>
  <c r="I922" i="2"/>
  <c r="L921" i="2"/>
  <c r="K921" i="2" a="1"/>
  <c r="J921" i="2"/>
  <c r="I921" i="2"/>
  <c r="L920" i="2"/>
  <c r="K920" i="2" a="1"/>
  <c r="J920" i="2"/>
  <c r="I920" i="2"/>
  <c r="L919" i="2"/>
  <c r="K919" i="2" a="1"/>
  <c r="J919" i="2"/>
  <c r="I919" i="2"/>
  <c r="L918" i="2"/>
  <c r="K918" i="2" a="1"/>
  <c r="J918" i="2"/>
  <c r="I918" i="2"/>
  <c r="L917" i="2"/>
  <c r="K917" i="2" a="1"/>
  <c r="J917" i="2"/>
  <c r="I917" i="2"/>
  <c r="L916" i="2"/>
  <c r="K916" i="2" a="1"/>
  <c r="J916" i="2"/>
  <c r="I916" i="2"/>
  <c r="L915" i="2"/>
  <c r="K915" i="2" a="1"/>
  <c r="J915" i="2"/>
  <c r="I915" i="2"/>
  <c r="L914" i="2"/>
  <c r="K914" i="2" a="1"/>
  <c r="J914" i="2"/>
  <c r="I914" i="2"/>
  <c r="L913" i="2"/>
  <c r="K913" i="2" a="1"/>
  <c r="J913" i="2"/>
  <c r="I913" i="2"/>
  <c r="L912" i="2"/>
  <c r="K912" i="2" a="1"/>
  <c r="J912" i="2"/>
  <c r="I912" i="2"/>
  <c r="L911" i="2"/>
  <c r="K911" i="2" a="1"/>
  <c r="J911" i="2"/>
  <c r="I911" i="2"/>
  <c r="L910" i="2"/>
  <c r="K910" i="2" a="1"/>
  <c r="J910" i="2"/>
  <c r="I910" i="2"/>
  <c r="L909" i="2"/>
  <c r="K909" i="2" a="1"/>
  <c r="J909" i="2"/>
  <c r="I909" i="2"/>
  <c r="L908" i="2"/>
  <c r="K908" i="2" a="1"/>
  <c r="J908" i="2"/>
  <c r="I908" i="2"/>
  <c r="L907" i="2"/>
  <c r="K907" i="2" a="1"/>
  <c r="J907" i="2"/>
  <c r="I907" i="2"/>
  <c r="L906" i="2"/>
  <c r="K906" i="2" a="1"/>
  <c r="J906" i="2"/>
  <c r="I906" i="2"/>
  <c r="L905" i="2"/>
  <c r="K905" i="2" a="1"/>
  <c r="J905" i="2"/>
  <c r="I905" i="2"/>
  <c r="L904" i="2"/>
  <c r="K904" i="2" a="1"/>
  <c r="J904" i="2"/>
  <c r="I904" i="2"/>
  <c r="L903" i="2"/>
  <c r="K903" i="2" a="1"/>
  <c r="J903" i="2"/>
  <c r="I903" i="2"/>
  <c r="L902" i="2"/>
  <c r="K902" i="2" a="1"/>
  <c r="J902" i="2"/>
  <c r="I902" i="2"/>
  <c r="L901" i="2"/>
  <c r="K901" i="2" a="1"/>
  <c r="J901" i="2"/>
  <c r="I901" i="2"/>
  <c r="L900" i="2"/>
  <c r="K900" i="2" a="1"/>
  <c r="J900" i="2"/>
  <c r="I900" i="2"/>
  <c r="L899" i="2"/>
  <c r="K899" i="2" a="1"/>
  <c r="J899" i="2"/>
  <c r="I899" i="2"/>
  <c r="L898" i="2"/>
  <c r="K898" i="2" a="1"/>
  <c r="J898" i="2"/>
  <c r="I898" i="2"/>
  <c r="L897" i="2"/>
  <c r="K897" i="2" a="1"/>
  <c r="J897" i="2"/>
  <c r="I897" i="2"/>
  <c r="L896" i="2"/>
  <c r="K896" i="2" a="1"/>
  <c r="J896" i="2"/>
  <c r="I896" i="2"/>
  <c r="L895" i="2"/>
  <c r="K895" i="2" a="1"/>
  <c r="J895" i="2"/>
  <c r="I895" i="2"/>
  <c r="L894" i="2"/>
  <c r="K894" i="2" a="1"/>
  <c r="J894" i="2"/>
  <c r="I894" i="2"/>
  <c r="L893" i="2"/>
  <c r="K893" i="2" a="1"/>
  <c r="J893" i="2"/>
  <c r="I893" i="2"/>
  <c r="L892" i="2"/>
  <c r="K892" i="2" a="1"/>
  <c r="J892" i="2"/>
  <c r="I892" i="2"/>
  <c r="L891" i="2"/>
  <c r="K891" i="2" a="1"/>
  <c r="J891" i="2"/>
  <c r="I891" i="2"/>
  <c r="L890" i="2"/>
  <c r="K890" i="2" a="1"/>
  <c r="J890" i="2"/>
  <c r="I890" i="2"/>
  <c r="L889" i="2"/>
  <c r="K889" i="2" a="1"/>
  <c r="J889" i="2"/>
  <c r="I889" i="2"/>
  <c r="L888" i="2"/>
  <c r="K888" i="2" a="1"/>
  <c r="J888" i="2"/>
  <c r="I888" i="2"/>
  <c r="L887" i="2"/>
  <c r="K887" i="2" a="1"/>
  <c r="J887" i="2"/>
  <c r="I887" i="2"/>
  <c r="L886" i="2"/>
  <c r="K886" i="2" a="1"/>
  <c r="J886" i="2"/>
  <c r="I886" i="2"/>
  <c r="L885" i="2"/>
  <c r="K885" i="2" a="1"/>
  <c r="J885" i="2"/>
  <c r="I885" i="2"/>
  <c r="L884" i="2"/>
  <c r="K884" i="2" a="1"/>
  <c r="J884" i="2"/>
  <c r="I884" i="2"/>
  <c r="L883" i="2"/>
  <c r="K883" i="2" a="1"/>
  <c r="J883" i="2"/>
  <c r="I883" i="2"/>
  <c r="L882" i="2"/>
  <c r="K882" i="2" a="1"/>
  <c r="J882" i="2"/>
  <c r="I882" i="2"/>
  <c r="L881" i="2"/>
  <c r="K881" i="2" a="1"/>
  <c r="J881" i="2"/>
  <c r="I881" i="2"/>
  <c r="L880" i="2"/>
  <c r="K880" i="2" a="1"/>
  <c r="J880" i="2"/>
  <c r="I880" i="2"/>
  <c r="L879" i="2"/>
  <c r="K879" i="2" a="1"/>
  <c r="J879" i="2"/>
  <c r="I879" i="2"/>
  <c r="L878" i="2"/>
  <c r="K878" i="2" a="1"/>
  <c r="J878" i="2"/>
  <c r="I878" i="2"/>
  <c r="L877" i="2"/>
  <c r="K877" i="2" a="1"/>
  <c r="J877" i="2"/>
  <c r="I877" i="2"/>
  <c r="L876" i="2"/>
  <c r="K876" i="2" a="1"/>
  <c r="J876" i="2"/>
  <c r="I876" i="2"/>
  <c r="L875" i="2"/>
  <c r="K875" i="2" a="1"/>
  <c r="J875" i="2"/>
  <c r="I875" i="2"/>
  <c r="L874" i="2"/>
  <c r="K874" i="2" a="1"/>
  <c r="J874" i="2"/>
  <c r="I874" i="2"/>
  <c r="L873" i="2"/>
  <c r="K873" i="2" a="1"/>
  <c r="J873" i="2"/>
  <c r="I873" i="2"/>
  <c r="L872" i="2"/>
  <c r="K872" i="2" a="1"/>
  <c r="J872" i="2"/>
  <c r="I872" i="2"/>
  <c r="L871" i="2"/>
  <c r="K871" i="2" a="1"/>
  <c r="J871" i="2"/>
  <c r="I871" i="2"/>
  <c r="L870" i="2"/>
  <c r="K870" i="2" a="1"/>
  <c r="J870" i="2"/>
  <c r="I870" i="2"/>
  <c r="L869" i="2"/>
  <c r="K869" i="2" a="1"/>
  <c r="J869" i="2"/>
  <c r="I869" i="2"/>
  <c r="L868" i="2"/>
  <c r="K868" i="2" a="1"/>
  <c r="J868" i="2"/>
  <c r="I868" i="2"/>
  <c r="L867" i="2"/>
  <c r="K867" i="2" a="1"/>
  <c r="J867" i="2"/>
  <c r="I867" i="2"/>
  <c r="L866" i="2"/>
  <c r="K866" i="2" a="1"/>
  <c r="J866" i="2"/>
  <c r="I866" i="2"/>
  <c r="L865" i="2"/>
  <c r="K865" i="2" a="1"/>
  <c r="J865" i="2"/>
  <c r="I865" i="2"/>
  <c r="L864" i="2"/>
  <c r="K864" i="2" a="1"/>
  <c r="J864" i="2"/>
  <c r="I864" i="2"/>
  <c r="L863" i="2"/>
  <c r="K863" i="2" a="1"/>
  <c r="J863" i="2"/>
  <c r="I863" i="2"/>
  <c r="L862" i="2"/>
  <c r="K862" i="2" a="1"/>
  <c r="J862" i="2"/>
  <c r="I862" i="2"/>
  <c r="L861" i="2"/>
  <c r="K861" i="2" a="1"/>
  <c r="J861" i="2"/>
  <c r="I861" i="2"/>
  <c r="L860" i="2"/>
  <c r="K860" i="2" a="1"/>
  <c r="J860" i="2"/>
  <c r="I860" i="2"/>
  <c r="L859" i="2"/>
  <c r="K859" i="2" a="1"/>
  <c r="J859" i="2"/>
  <c r="I859" i="2"/>
  <c r="L858" i="2"/>
  <c r="K858" i="2" a="1"/>
  <c r="J858" i="2"/>
  <c r="I858" i="2"/>
  <c r="L857" i="2"/>
  <c r="K857" i="2" a="1"/>
  <c r="J857" i="2"/>
  <c r="I857" i="2"/>
  <c r="L856" i="2"/>
  <c r="K856" i="2" a="1"/>
  <c r="J856" i="2"/>
  <c r="I856" i="2"/>
  <c r="L855" i="2"/>
  <c r="K855" i="2" a="1"/>
  <c r="J855" i="2"/>
  <c r="I855" i="2"/>
  <c r="L854" i="2"/>
  <c r="K854" i="2" a="1"/>
  <c r="J854" i="2"/>
  <c r="I854" i="2"/>
  <c r="L853" i="2"/>
  <c r="K853" i="2" a="1"/>
  <c r="J853" i="2"/>
  <c r="I853" i="2"/>
  <c r="L852" i="2"/>
  <c r="K852" i="2" a="1"/>
  <c r="J852" i="2"/>
  <c r="I852" i="2"/>
  <c r="L851" i="2"/>
  <c r="K851" i="2" a="1"/>
  <c r="J851" i="2"/>
  <c r="I851" i="2"/>
  <c r="L850" i="2"/>
  <c r="K850" i="2" a="1"/>
  <c r="J850" i="2"/>
  <c r="I850" i="2"/>
  <c r="L849" i="2"/>
  <c r="K849" i="2" a="1"/>
  <c r="J849" i="2"/>
  <c r="I849" i="2"/>
  <c r="L848" i="2"/>
  <c r="K848" i="2" a="1"/>
  <c r="J848" i="2"/>
  <c r="I848" i="2"/>
  <c r="L847" i="2"/>
  <c r="K847" i="2" a="1"/>
  <c r="J847" i="2"/>
  <c r="I847" i="2"/>
  <c r="L846" i="2"/>
  <c r="K846" i="2" a="1"/>
  <c r="J846" i="2"/>
  <c r="I846" i="2"/>
  <c r="L845" i="2"/>
  <c r="K845" i="2" a="1"/>
  <c r="J845" i="2"/>
  <c r="I845" i="2"/>
  <c r="L844" i="2"/>
  <c r="K844" i="2" a="1"/>
  <c r="J844" i="2"/>
  <c r="I844" i="2"/>
  <c r="L843" i="2"/>
  <c r="K843" i="2" a="1"/>
  <c r="J843" i="2"/>
  <c r="I843" i="2"/>
  <c r="L842" i="2"/>
  <c r="K842" i="2" a="1"/>
  <c r="J842" i="2"/>
  <c r="I842" i="2"/>
  <c r="L841" i="2"/>
  <c r="K841" i="2" a="1"/>
  <c r="J841" i="2"/>
  <c r="I841" i="2"/>
  <c r="L840" i="2"/>
  <c r="K840" i="2" a="1"/>
  <c r="J840" i="2"/>
  <c r="I840" i="2"/>
  <c r="L839" i="2"/>
  <c r="K839" i="2" a="1"/>
  <c r="J839" i="2"/>
  <c r="I839" i="2"/>
  <c r="L838" i="2"/>
  <c r="K838" i="2" a="1"/>
  <c r="J838" i="2"/>
  <c r="I838" i="2"/>
  <c r="L837" i="2"/>
  <c r="K837" i="2" a="1"/>
  <c r="J837" i="2"/>
  <c r="I837" i="2"/>
  <c r="L836" i="2"/>
  <c r="K836" i="2" a="1"/>
  <c r="J836" i="2"/>
  <c r="I836" i="2"/>
  <c r="L835" i="2"/>
  <c r="K835" i="2" a="1"/>
  <c r="J835" i="2"/>
  <c r="I835" i="2"/>
  <c r="L834" i="2"/>
  <c r="K834" i="2" a="1"/>
  <c r="J834" i="2"/>
  <c r="I834" i="2"/>
  <c r="L833" i="2"/>
  <c r="K833" i="2" a="1"/>
  <c r="J833" i="2"/>
  <c r="I833" i="2"/>
  <c r="L832" i="2"/>
  <c r="K832" i="2" a="1"/>
  <c r="J832" i="2"/>
  <c r="I832" i="2"/>
  <c r="L831" i="2"/>
  <c r="K831" i="2" a="1"/>
  <c r="J831" i="2"/>
  <c r="I831" i="2"/>
  <c r="L830" i="2"/>
  <c r="K830" i="2" a="1"/>
  <c r="J830" i="2"/>
  <c r="I830" i="2"/>
  <c r="L829" i="2"/>
  <c r="K829" i="2" a="1"/>
  <c r="J829" i="2"/>
  <c r="I829" i="2"/>
  <c r="L828" i="2"/>
  <c r="K828" i="2" a="1"/>
  <c r="J828" i="2"/>
  <c r="I828" i="2"/>
  <c r="L827" i="2"/>
  <c r="K827" i="2" a="1"/>
  <c r="J827" i="2"/>
  <c r="I827" i="2"/>
  <c r="L826" i="2"/>
  <c r="K826" i="2" a="1"/>
  <c r="J826" i="2"/>
  <c r="I826" i="2"/>
  <c r="L825" i="2"/>
  <c r="K825" i="2" a="1"/>
  <c r="J825" i="2"/>
  <c r="I825" i="2"/>
  <c r="L824" i="2"/>
  <c r="K824" i="2" a="1"/>
  <c r="J824" i="2"/>
  <c r="I824" i="2"/>
  <c r="L823" i="2"/>
  <c r="K823" i="2" a="1"/>
  <c r="J823" i="2"/>
  <c r="I823" i="2"/>
  <c r="L822" i="2"/>
  <c r="K822" i="2" a="1"/>
  <c r="J822" i="2"/>
  <c r="I822" i="2"/>
  <c r="L821" i="2"/>
  <c r="K821" i="2" a="1"/>
  <c r="J821" i="2"/>
  <c r="I821" i="2"/>
  <c r="L820" i="2"/>
  <c r="K820" i="2" a="1"/>
  <c r="J820" i="2"/>
  <c r="I820" i="2"/>
  <c r="L819" i="2"/>
  <c r="K819" i="2" a="1"/>
  <c r="J819" i="2"/>
  <c r="I819" i="2"/>
  <c r="L818" i="2"/>
  <c r="K818" i="2" a="1"/>
  <c r="J818" i="2"/>
  <c r="I818" i="2"/>
  <c r="L817" i="2"/>
  <c r="K817" i="2" a="1"/>
  <c r="J817" i="2"/>
  <c r="I817" i="2"/>
  <c r="L816" i="2"/>
  <c r="K816" i="2" a="1"/>
  <c r="J816" i="2"/>
  <c r="I816" i="2"/>
  <c r="L815" i="2"/>
  <c r="K815" i="2" a="1"/>
  <c r="J815" i="2"/>
  <c r="I815" i="2"/>
  <c r="L814" i="2"/>
  <c r="K814" i="2" a="1"/>
  <c r="J814" i="2"/>
  <c r="I814" i="2"/>
  <c r="L813" i="2"/>
  <c r="K813" i="2" a="1"/>
  <c r="J813" i="2"/>
  <c r="I813" i="2"/>
  <c r="L812" i="2"/>
  <c r="K812" i="2" a="1"/>
  <c r="J812" i="2"/>
  <c r="I812" i="2"/>
  <c r="L811" i="2"/>
  <c r="K811" i="2" a="1"/>
  <c r="J811" i="2"/>
  <c r="I811" i="2"/>
  <c r="L810" i="2"/>
  <c r="K810" i="2" a="1"/>
  <c r="J810" i="2"/>
  <c r="I810" i="2"/>
  <c r="L809" i="2"/>
  <c r="K809" i="2" a="1"/>
  <c r="J809" i="2"/>
  <c r="I809" i="2"/>
  <c r="L808" i="2"/>
  <c r="K808" i="2" a="1"/>
  <c r="J808" i="2"/>
  <c r="I808" i="2"/>
  <c r="L807" i="2"/>
  <c r="K807" i="2" a="1"/>
  <c r="J807" i="2"/>
  <c r="I807" i="2"/>
  <c r="L806" i="2"/>
  <c r="K806" i="2" a="1"/>
  <c r="J806" i="2"/>
  <c r="I806" i="2"/>
  <c r="L805" i="2"/>
  <c r="K805" i="2" a="1"/>
  <c r="J805" i="2"/>
  <c r="I805" i="2"/>
  <c r="L804" i="2"/>
  <c r="K804" i="2" a="1"/>
  <c r="J804" i="2"/>
  <c r="I804" i="2"/>
  <c r="L803" i="2"/>
  <c r="K803" i="2" a="1"/>
  <c r="J803" i="2"/>
  <c r="I803" i="2"/>
  <c r="L802" i="2"/>
  <c r="K802" i="2" a="1"/>
  <c r="J802" i="2"/>
  <c r="I802" i="2"/>
  <c r="L801" i="2"/>
  <c r="K801" i="2" a="1"/>
  <c r="J801" i="2"/>
  <c r="I801" i="2"/>
  <c r="L800" i="2"/>
  <c r="K800" i="2" a="1"/>
  <c r="J800" i="2"/>
  <c r="I800" i="2"/>
  <c r="L799" i="2"/>
  <c r="K799" i="2" a="1"/>
  <c r="J799" i="2"/>
  <c r="I799" i="2"/>
  <c r="L798" i="2"/>
  <c r="K798" i="2" a="1"/>
  <c r="J798" i="2"/>
  <c r="I798" i="2"/>
  <c r="L797" i="2"/>
  <c r="K797" i="2" a="1"/>
  <c r="J797" i="2"/>
  <c r="I797" i="2"/>
  <c r="L796" i="2"/>
  <c r="K796" i="2" a="1"/>
  <c r="J796" i="2"/>
  <c r="I796" i="2"/>
  <c r="L795" i="2"/>
  <c r="K795" i="2" a="1"/>
  <c r="J795" i="2"/>
  <c r="I795" i="2"/>
  <c r="L794" i="2"/>
  <c r="K794" i="2" a="1"/>
  <c r="J794" i="2"/>
  <c r="I794" i="2"/>
  <c r="L793" i="2"/>
  <c r="K793" i="2" a="1"/>
  <c r="J793" i="2"/>
  <c r="I793" i="2"/>
  <c r="L792" i="2"/>
  <c r="K792" i="2" a="1"/>
  <c r="J792" i="2"/>
  <c r="I792" i="2"/>
  <c r="L791" i="2"/>
  <c r="K791" i="2" a="1"/>
  <c r="J791" i="2"/>
  <c r="I791" i="2"/>
  <c r="L790" i="2"/>
  <c r="K790" i="2" a="1"/>
  <c r="J790" i="2"/>
  <c r="I790" i="2"/>
  <c r="L789" i="2"/>
  <c r="K789" i="2" a="1"/>
  <c r="J789" i="2"/>
  <c r="I789" i="2"/>
  <c r="L788" i="2"/>
  <c r="K788" i="2" a="1"/>
  <c r="J788" i="2"/>
  <c r="I788" i="2"/>
  <c r="L787" i="2"/>
  <c r="K787" i="2" a="1"/>
  <c r="J787" i="2"/>
  <c r="I787" i="2"/>
  <c r="L786" i="2"/>
  <c r="K786" i="2" a="1"/>
  <c r="J786" i="2"/>
  <c r="I786" i="2"/>
  <c r="L785" i="2"/>
  <c r="K785" i="2" a="1"/>
  <c r="J785" i="2"/>
  <c r="I785" i="2"/>
  <c r="L784" i="2"/>
  <c r="K784" i="2" a="1"/>
  <c r="J784" i="2"/>
  <c r="I784" i="2"/>
  <c r="L783" i="2"/>
  <c r="K783" i="2" a="1"/>
  <c r="J783" i="2"/>
  <c r="I783" i="2"/>
  <c r="L782" i="2"/>
  <c r="K782" i="2" a="1"/>
  <c r="J782" i="2"/>
  <c r="I782" i="2"/>
  <c r="L781" i="2"/>
  <c r="K781" i="2" a="1"/>
  <c r="J781" i="2"/>
  <c r="I781" i="2"/>
  <c r="L780" i="2"/>
  <c r="K780" i="2" a="1"/>
  <c r="J780" i="2"/>
  <c r="I780" i="2"/>
  <c r="L779" i="2"/>
  <c r="K779" i="2" a="1"/>
  <c r="J779" i="2"/>
  <c r="I779" i="2"/>
  <c r="L778" i="2"/>
  <c r="K778" i="2" a="1"/>
  <c r="J778" i="2"/>
  <c r="I778" i="2"/>
  <c r="L777" i="2"/>
  <c r="K777" i="2" a="1"/>
  <c r="J777" i="2"/>
  <c r="I777" i="2"/>
  <c r="L776" i="2"/>
  <c r="K776" i="2" a="1"/>
  <c r="J776" i="2"/>
  <c r="I776" i="2"/>
  <c r="L775" i="2"/>
  <c r="K775" i="2" a="1"/>
  <c r="J775" i="2"/>
  <c r="I775" i="2"/>
  <c r="L774" i="2"/>
  <c r="K774" i="2" a="1"/>
  <c r="J774" i="2"/>
  <c r="I774" i="2"/>
  <c r="L773" i="2"/>
  <c r="K773" i="2" a="1"/>
  <c r="J773" i="2"/>
  <c r="I773" i="2"/>
  <c r="L772" i="2"/>
  <c r="K772" i="2" a="1"/>
  <c r="J772" i="2"/>
  <c r="I772" i="2"/>
  <c r="L771" i="2"/>
  <c r="K771" i="2" a="1"/>
  <c r="J771" i="2"/>
  <c r="I771" i="2"/>
  <c r="L770" i="2"/>
  <c r="K770" i="2" a="1"/>
  <c r="J770" i="2"/>
  <c r="I770" i="2"/>
  <c r="L769" i="2"/>
  <c r="K769" i="2" a="1"/>
  <c r="J769" i="2"/>
  <c r="I769" i="2"/>
  <c r="L768" i="2"/>
  <c r="K768" i="2" a="1"/>
  <c r="J768" i="2"/>
  <c r="I768" i="2"/>
  <c r="L767" i="2"/>
  <c r="K767" i="2" a="1"/>
  <c r="J767" i="2"/>
  <c r="I767" i="2"/>
  <c r="L766" i="2"/>
  <c r="K766" i="2" a="1"/>
  <c r="J766" i="2"/>
  <c r="I766" i="2"/>
  <c r="L765" i="2"/>
  <c r="K765" i="2" a="1"/>
  <c r="J765" i="2"/>
  <c r="I765" i="2"/>
  <c r="L764" i="2"/>
  <c r="K764" i="2" a="1"/>
  <c r="J764" i="2"/>
  <c r="I764" i="2"/>
  <c r="L763" i="2"/>
  <c r="K763" i="2" a="1"/>
  <c r="J763" i="2"/>
  <c r="I763" i="2"/>
  <c r="L762" i="2"/>
  <c r="K762" i="2" a="1"/>
  <c r="J762" i="2"/>
  <c r="I762" i="2"/>
  <c r="L761" i="2"/>
  <c r="K761" i="2" a="1"/>
  <c r="J761" i="2"/>
  <c r="I761" i="2"/>
  <c r="L760" i="2"/>
  <c r="K760" i="2" a="1"/>
  <c r="J760" i="2"/>
  <c r="I760" i="2"/>
  <c r="L759" i="2"/>
  <c r="K759" i="2" a="1"/>
  <c r="J759" i="2"/>
  <c r="I759" i="2"/>
  <c r="L758" i="2"/>
  <c r="K758" i="2" a="1"/>
  <c r="J758" i="2"/>
  <c r="I758" i="2"/>
  <c r="L757" i="2"/>
  <c r="K757" i="2" a="1"/>
  <c r="J757" i="2"/>
  <c r="I757" i="2"/>
  <c r="L756" i="2"/>
  <c r="K756" i="2" a="1"/>
  <c r="J756" i="2"/>
  <c r="I756" i="2"/>
  <c r="L755" i="2"/>
  <c r="K755" i="2" a="1"/>
  <c r="J755" i="2"/>
  <c r="I755" i="2"/>
  <c r="L754" i="2"/>
  <c r="K754" i="2" a="1"/>
  <c r="J754" i="2"/>
  <c r="I754" i="2"/>
  <c r="L753" i="2"/>
  <c r="K753" i="2" a="1"/>
  <c r="J753" i="2"/>
  <c r="I753" i="2"/>
  <c r="L752" i="2"/>
  <c r="K752" i="2" a="1"/>
  <c r="J752" i="2"/>
  <c r="I752" i="2"/>
  <c r="L751" i="2"/>
  <c r="K751" i="2" a="1"/>
  <c r="J751" i="2"/>
  <c r="I751" i="2"/>
  <c r="L750" i="2"/>
  <c r="K750" i="2" a="1"/>
  <c r="J750" i="2"/>
  <c r="I750" i="2"/>
  <c r="L749" i="2"/>
  <c r="K749" i="2" a="1"/>
  <c r="J749" i="2"/>
  <c r="I749" i="2"/>
  <c r="L748" i="2"/>
  <c r="K748" i="2" a="1"/>
  <c r="J748" i="2"/>
  <c r="I748" i="2"/>
  <c r="L747" i="2"/>
  <c r="K747" i="2" a="1"/>
  <c r="J747" i="2"/>
  <c r="I747" i="2"/>
  <c r="L746" i="2"/>
  <c r="K746" i="2" a="1"/>
  <c r="J746" i="2"/>
  <c r="I746" i="2"/>
  <c r="L745" i="2"/>
  <c r="K745" i="2" a="1"/>
  <c r="J745" i="2"/>
  <c r="I745" i="2"/>
  <c r="L744" i="2"/>
  <c r="K744" i="2" a="1"/>
  <c r="J744" i="2"/>
  <c r="I744" i="2"/>
  <c r="L743" i="2"/>
  <c r="K743" i="2" a="1"/>
  <c r="J743" i="2"/>
  <c r="I743" i="2"/>
  <c r="L742" i="2"/>
  <c r="K742" i="2" a="1"/>
  <c r="J742" i="2"/>
  <c r="I742" i="2"/>
  <c r="L741" i="2"/>
  <c r="K741" i="2" a="1"/>
  <c r="J741" i="2"/>
  <c r="I741" i="2"/>
  <c r="L740" i="2"/>
  <c r="K740" i="2" a="1"/>
  <c r="J740" i="2"/>
  <c r="I740" i="2"/>
  <c r="L739" i="2"/>
  <c r="K739" i="2" a="1"/>
  <c r="J739" i="2"/>
  <c r="I739" i="2"/>
  <c r="L738" i="2"/>
  <c r="K738" i="2" a="1"/>
  <c r="J738" i="2"/>
  <c r="I738" i="2"/>
  <c r="L737" i="2"/>
  <c r="K737" i="2" a="1"/>
  <c r="J737" i="2"/>
  <c r="I737" i="2"/>
  <c r="L736" i="2"/>
  <c r="K736" i="2" a="1"/>
  <c r="J736" i="2"/>
  <c r="I736" i="2"/>
  <c r="L735" i="2"/>
  <c r="K735" i="2" a="1"/>
  <c r="J735" i="2"/>
  <c r="I735" i="2"/>
  <c r="L734" i="2"/>
  <c r="K734" i="2" a="1"/>
  <c r="J734" i="2"/>
  <c r="I734" i="2"/>
  <c r="L733" i="2"/>
  <c r="K733" i="2" a="1"/>
  <c r="J733" i="2"/>
  <c r="I733" i="2"/>
  <c r="L732" i="2"/>
  <c r="K732" i="2" a="1"/>
  <c r="J732" i="2"/>
  <c r="I732" i="2"/>
  <c r="L731" i="2"/>
  <c r="K731" i="2" a="1"/>
  <c r="J731" i="2"/>
  <c r="I731" i="2"/>
  <c r="L730" i="2"/>
  <c r="K730" i="2" a="1"/>
  <c r="J730" i="2"/>
  <c r="I730" i="2"/>
  <c r="L729" i="2"/>
  <c r="K729" i="2" a="1"/>
  <c r="J729" i="2"/>
  <c r="I729" i="2"/>
  <c r="L728" i="2"/>
  <c r="K728" i="2" a="1"/>
  <c r="J728" i="2"/>
  <c r="I728" i="2"/>
  <c r="L727" i="2"/>
  <c r="K727" i="2" a="1"/>
  <c r="J727" i="2"/>
  <c r="I727" i="2"/>
  <c r="L726" i="2"/>
  <c r="K726" i="2" a="1"/>
  <c r="J726" i="2"/>
  <c r="I726" i="2"/>
  <c r="L725" i="2"/>
  <c r="K725" i="2" a="1"/>
  <c r="J725" i="2"/>
  <c r="I725" i="2"/>
  <c r="L724" i="2"/>
  <c r="K724" i="2" a="1"/>
  <c r="J724" i="2"/>
  <c r="I724" i="2"/>
  <c r="L723" i="2"/>
  <c r="K723" i="2" a="1"/>
  <c r="J723" i="2"/>
  <c r="I723" i="2"/>
  <c r="L722" i="2"/>
  <c r="K722" i="2" a="1"/>
  <c r="J722" i="2"/>
  <c r="I722" i="2"/>
  <c r="L721" i="2"/>
  <c r="K721" i="2" a="1"/>
  <c r="J721" i="2"/>
  <c r="I721" i="2"/>
  <c r="L720" i="2"/>
  <c r="K720" i="2" a="1"/>
  <c r="J720" i="2"/>
  <c r="I720" i="2"/>
  <c r="L719" i="2"/>
  <c r="K719" i="2" a="1"/>
  <c r="J719" i="2"/>
  <c r="I719" i="2"/>
  <c r="L718" i="2"/>
  <c r="K718" i="2" a="1"/>
  <c r="J718" i="2"/>
  <c r="I718" i="2"/>
  <c r="L717" i="2"/>
  <c r="K717" i="2" a="1"/>
  <c r="J717" i="2"/>
  <c r="I717" i="2"/>
  <c r="L716" i="2"/>
  <c r="K716" i="2" a="1"/>
  <c r="J716" i="2"/>
  <c r="I716" i="2"/>
  <c r="L715" i="2"/>
  <c r="K715" i="2" a="1"/>
  <c r="J715" i="2"/>
  <c r="I715" i="2"/>
  <c r="L714" i="2"/>
  <c r="K714" i="2" a="1"/>
  <c r="J714" i="2"/>
  <c r="I714" i="2"/>
  <c r="L713" i="2"/>
  <c r="K713" i="2" a="1"/>
  <c r="J713" i="2"/>
  <c r="I713" i="2"/>
  <c r="L712" i="2"/>
  <c r="K712" i="2" a="1"/>
  <c r="J712" i="2"/>
  <c r="I712" i="2"/>
  <c r="L711" i="2"/>
  <c r="K711" i="2" a="1"/>
  <c r="J711" i="2"/>
  <c r="I711" i="2"/>
  <c r="L710" i="2"/>
  <c r="K710" i="2" a="1"/>
  <c r="J710" i="2"/>
  <c r="I710" i="2"/>
  <c r="L709" i="2"/>
  <c r="K709" i="2" a="1"/>
  <c r="J709" i="2"/>
  <c r="I709" i="2"/>
  <c r="L708" i="2"/>
  <c r="K708" i="2" a="1"/>
  <c r="J708" i="2"/>
  <c r="I708" i="2"/>
  <c r="L707" i="2"/>
  <c r="K707" i="2" a="1"/>
  <c r="J707" i="2"/>
  <c r="I707" i="2"/>
  <c r="L706" i="2"/>
  <c r="K706" i="2" a="1"/>
  <c r="J706" i="2"/>
  <c r="I706" i="2"/>
  <c r="L705" i="2"/>
  <c r="K705" i="2" a="1"/>
  <c r="J705" i="2"/>
  <c r="I705" i="2"/>
  <c r="L704" i="2"/>
  <c r="K704" i="2" a="1"/>
  <c r="J704" i="2"/>
  <c r="I704" i="2"/>
  <c r="L703" i="2"/>
  <c r="K703" i="2" a="1"/>
  <c r="J703" i="2"/>
  <c r="I703" i="2"/>
  <c r="L702" i="2"/>
  <c r="K702" i="2" a="1"/>
  <c r="J702" i="2"/>
  <c r="I702" i="2"/>
  <c r="L701" i="2"/>
  <c r="K701" i="2" a="1"/>
  <c r="J701" i="2"/>
  <c r="I701" i="2"/>
  <c r="L700" i="2"/>
  <c r="K700" i="2" a="1"/>
  <c r="J700" i="2"/>
  <c r="I700" i="2"/>
  <c r="L699" i="2"/>
  <c r="K699" i="2" a="1"/>
  <c r="J699" i="2"/>
  <c r="I699" i="2"/>
  <c r="L698" i="2"/>
  <c r="K698" i="2" a="1"/>
  <c r="J698" i="2"/>
  <c r="I698" i="2"/>
  <c r="L697" i="2"/>
  <c r="K697" i="2" a="1"/>
  <c r="J697" i="2"/>
  <c r="I697" i="2"/>
  <c r="L696" i="2"/>
  <c r="K696" i="2" a="1"/>
  <c r="J696" i="2"/>
  <c r="I696" i="2"/>
  <c r="L695" i="2"/>
  <c r="K695" i="2" a="1"/>
  <c r="J695" i="2"/>
  <c r="I695" i="2"/>
  <c r="L694" i="2"/>
  <c r="K694" i="2" a="1"/>
  <c r="J694" i="2"/>
  <c r="I694" i="2"/>
  <c r="L693" i="2"/>
  <c r="K693" i="2" a="1"/>
  <c r="J693" i="2"/>
  <c r="I693" i="2"/>
  <c r="L692" i="2"/>
  <c r="K692" i="2" a="1"/>
  <c r="J692" i="2"/>
  <c r="I692" i="2"/>
  <c r="L691" i="2"/>
  <c r="K691" i="2" a="1"/>
  <c r="J691" i="2"/>
  <c r="I691" i="2"/>
  <c r="L690" i="2"/>
  <c r="K690" i="2" a="1"/>
  <c r="J690" i="2"/>
  <c r="I690" i="2"/>
  <c r="L689" i="2"/>
  <c r="K689" i="2" a="1"/>
  <c r="J689" i="2"/>
  <c r="I689" i="2"/>
  <c r="L688" i="2"/>
  <c r="K688" i="2" a="1"/>
  <c r="J688" i="2"/>
  <c r="I688" i="2"/>
  <c r="L687" i="2"/>
  <c r="K687" i="2" a="1"/>
  <c r="J687" i="2"/>
  <c r="I687" i="2"/>
  <c r="L686" i="2"/>
  <c r="K686" i="2" a="1"/>
  <c r="J686" i="2"/>
  <c r="I686" i="2"/>
  <c r="L685" i="2"/>
  <c r="K685" i="2" a="1"/>
  <c r="J685" i="2"/>
  <c r="I685" i="2"/>
  <c r="L684" i="2"/>
  <c r="K684" i="2" a="1"/>
  <c r="J684" i="2"/>
  <c r="I684" i="2"/>
  <c r="L683" i="2"/>
  <c r="K683" i="2" a="1"/>
  <c r="J683" i="2"/>
  <c r="I683" i="2"/>
  <c r="L682" i="2"/>
  <c r="K682" i="2" a="1"/>
  <c r="J682" i="2"/>
  <c r="I682" i="2"/>
  <c r="L681" i="2"/>
  <c r="K681" i="2" a="1"/>
  <c r="J681" i="2"/>
  <c r="I681" i="2"/>
  <c r="L680" i="2"/>
  <c r="K680" i="2" a="1"/>
  <c r="J680" i="2"/>
  <c r="I680" i="2"/>
  <c r="L679" i="2"/>
  <c r="K679" i="2" a="1"/>
  <c r="J679" i="2"/>
  <c r="I679" i="2"/>
  <c r="L678" i="2"/>
  <c r="K678" i="2" a="1"/>
  <c r="J678" i="2"/>
  <c r="I678" i="2"/>
  <c r="L677" i="2"/>
  <c r="K677" i="2" a="1"/>
  <c r="J677" i="2"/>
  <c r="I677" i="2"/>
  <c r="L676" i="2"/>
  <c r="K676" i="2" a="1"/>
  <c r="J676" i="2"/>
  <c r="I676" i="2"/>
  <c r="L675" i="2"/>
  <c r="K675" i="2" a="1"/>
  <c r="J675" i="2"/>
  <c r="I675" i="2"/>
  <c r="L674" i="2"/>
  <c r="K674" i="2" a="1"/>
  <c r="J674" i="2"/>
  <c r="I674" i="2"/>
  <c r="L673" i="2"/>
  <c r="K673" i="2" a="1"/>
  <c r="J673" i="2"/>
  <c r="I673" i="2"/>
  <c r="L672" i="2"/>
  <c r="K672" i="2" a="1"/>
  <c r="J672" i="2"/>
  <c r="I672" i="2"/>
  <c r="L671" i="2"/>
  <c r="K671" i="2" a="1"/>
  <c r="J671" i="2"/>
  <c r="I671" i="2"/>
  <c r="L670" i="2"/>
  <c r="K670" i="2" a="1"/>
  <c r="J670" i="2"/>
  <c r="I670" i="2"/>
  <c r="L669" i="2"/>
  <c r="K669" i="2" a="1"/>
  <c r="J669" i="2"/>
  <c r="I669" i="2"/>
  <c r="L668" i="2"/>
  <c r="K668" i="2" a="1"/>
  <c r="J668" i="2"/>
  <c r="I668" i="2"/>
  <c r="L667" i="2"/>
  <c r="K667" i="2" a="1"/>
  <c r="J667" i="2"/>
  <c r="I667" i="2"/>
  <c r="L666" i="2"/>
  <c r="K666" i="2" a="1"/>
  <c r="J666" i="2"/>
  <c r="I666" i="2"/>
  <c r="L665" i="2"/>
  <c r="K665" i="2" a="1"/>
  <c r="J665" i="2"/>
  <c r="I665" i="2"/>
  <c r="L664" i="2"/>
  <c r="K664" i="2" a="1"/>
  <c r="J664" i="2"/>
  <c r="I664" i="2"/>
  <c r="L663" i="2"/>
  <c r="K663" i="2" a="1"/>
  <c r="J663" i="2"/>
  <c r="I663" i="2"/>
  <c r="L662" i="2"/>
  <c r="K662" i="2" a="1"/>
  <c r="J662" i="2"/>
  <c r="I662" i="2"/>
  <c r="L661" i="2"/>
  <c r="K661" i="2" a="1"/>
  <c r="J661" i="2"/>
  <c r="I661" i="2"/>
  <c r="L660" i="2"/>
  <c r="K660" i="2" a="1"/>
  <c r="J660" i="2"/>
  <c r="I660" i="2"/>
  <c r="L659" i="2"/>
  <c r="K659" i="2" a="1"/>
  <c r="J659" i="2"/>
  <c r="I659" i="2"/>
  <c r="L658" i="2"/>
  <c r="K658" i="2" a="1"/>
  <c r="J658" i="2"/>
  <c r="I658" i="2"/>
  <c r="L657" i="2"/>
  <c r="K657" i="2" a="1"/>
  <c r="J657" i="2"/>
  <c r="I657" i="2"/>
  <c r="L656" i="2"/>
  <c r="K656" i="2" a="1"/>
  <c r="J656" i="2"/>
  <c r="I656" i="2"/>
  <c r="L655" i="2"/>
  <c r="K655" i="2" a="1"/>
  <c r="J655" i="2"/>
  <c r="I655" i="2"/>
  <c r="L654" i="2"/>
  <c r="K654" i="2" a="1"/>
  <c r="J654" i="2"/>
  <c r="I654" i="2"/>
  <c r="L653" i="2"/>
  <c r="K653" i="2" a="1"/>
  <c r="J653" i="2"/>
  <c r="I653" i="2"/>
  <c r="L652" i="2"/>
  <c r="K652" i="2" a="1"/>
  <c r="J652" i="2"/>
  <c r="I652" i="2"/>
  <c r="L651" i="2"/>
  <c r="K651" i="2" a="1"/>
  <c r="J651" i="2"/>
  <c r="I651" i="2"/>
  <c r="L650" i="2"/>
  <c r="K650" i="2" a="1"/>
  <c r="J650" i="2"/>
  <c r="I650" i="2"/>
  <c r="L649" i="2"/>
  <c r="K649" i="2" a="1"/>
  <c r="J649" i="2"/>
  <c r="I649" i="2"/>
  <c r="L648" i="2"/>
  <c r="K648" i="2" a="1"/>
  <c r="J648" i="2"/>
  <c r="I648" i="2"/>
  <c r="L647" i="2"/>
  <c r="K647" i="2" a="1"/>
  <c r="J647" i="2"/>
  <c r="I647" i="2"/>
  <c r="L646" i="2"/>
  <c r="K646" i="2" a="1"/>
  <c r="J646" i="2"/>
  <c r="I646" i="2"/>
  <c r="L645" i="2"/>
  <c r="K645" i="2" a="1"/>
  <c r="J645" i="2"/>
  <c r="I645" i="2"/>
  <c r="L644" i="2"/>
  <c r="K644" i="2" a="1"/>
  <c r="J644" i="2"/>
  <c r="I644" i="2"/>
  <c r="L643" i="2"/>
  <c r="K643" i="2" a="1"/>
  <c r="J643" i="2"/>
  <c r="I643" i="2"/>
  <c r="L642" i="2"/>
  <c r="K642" i="2" a="1"/>
  <c r="J642" i="2"/>
  <c r="I642" i="2"/>
  <c r="L641" i="2"/>
  <c r="K641" i="2" a="1"/>
  <c r="J641" i="2"/>
  <c r="I641" i="2"/>
  <c r="L640" i="2"/>
  <c r="K640" i="2" a="1"/>
  <c r="J640" i="2"/>
  <c r="I640" i="2"/>
  <c r="L639" i="2"/>
  <c r="K639" i="2" a="1"/>
  <c r="J639" i="2"/>
  <c r="I639" i="2"/>
  <c r="L638" i="2"/>
  <c r="K638" i="2" a="1"/>
  <c r="J638" i="2"/>
  <c r="I638" i="2"/>
  <c r="L637" i="2"/>
  <c r="K637" i="2" a="1"/>
  <c r="J637" i="2"/>
  <c r="I637" i="2"/>
  <c r="L636" i="2"/>
  <c r="K636" i="2" a="1"/>
  <c r="J636" i="2"/>
  <c r="I636" i="2"/>
  <c r="L635" i="2"/>
  <c r="K635" i="2" a="1"/>
  <c r="J635" i="2"/>
  <c r="I635" i="2"/>
  <c r="L634" i="2"/>
  <c r="K634" i="2" a="1"/>
  <c r="J634" i="2"/>
  <c r="I634" i="2"/>
  <c r="L633" i="2"/>
  <c r="K633" i="2" a="1"/>
  <c r="J633" i="2"/>
  <c r="I633" i="2"/>
  <c r="L632" i="2"/>
  <c r="K632" i="2" a="1"/>
  <c r="J632" i="2"/>
  <c r="I632" i="2"/>
  <c r="L631" i="2"/>
  <c r="K631" i="2" a="1"/>
  <c r="J631" i="2"/>
  <c r="I631" i="2"/>
  <c r="L630" i="2"/>
  <c r="K630" i="2" a="1"/>
  <c r="J630" i="2"/>
  <c r="I630" i="2"/>
  <c r="L629" i="2"/>
  <c r="K629" i="2" a="1"/>
  <c r="J629" i="2"/>
  <c r="I629" i="2"/>
  <c r="L628" i="2"/>
  <c r="K628" i="2" a="1"/>
  <c r="J628" i="2"/>
  <c r="I628" i="2"/>
  <c r="L627" i="2"/>
  <c r="K627" i="2" a="1"/>
  <c r="J627" i="2"/>
  <c r="I627" i="2"/>
  <c r="L626" i="2"/>
  <c r="K626" i="2" a="1"/>
  <c r="J626" i="2"/>
  <c r="I626" i="2"/>
  <c r="L625" i="2"/>
  <c r="K625" i="2" a="1"/>
  <c r="J625" i="2"/>
  <c r="I625" i="2"/>
  <c r="L624" i="2"/>
  <c r="K624" i="2" a="1"/>
  <c r="J624" i="2"/>
  <c r="I624" i="2"/>
  <c r="L623" i="2"/>
  <c r="K623" i="2" a="1"/>
  <c r="J623" i="2"/>
  <c r="I623" i="2"/>
  <c r="L622" i="2"/>
  <c r="K622" i="2" a="1"/>
  <c r="J622" i="2"/>
  <c r="I622" i="2"/>
  <c r="L621" i="2"/>
  <c r="K621" i="2" a="1"/>
  <c r="J621" i="2"/>
  <c r="I621" i="2"/>
  <c r="L620" i="2"/>
  <c r="K620" i="2" a="1"/>
  <c r="J620" i="2"/>
  <c r="I620" i="2"/>
  <c r="L619" i="2"/>
  <c r="K619" i="2" a="1"/>
  <c r="J619" i="2"/>
  <c r="I619" i="2"/>
  <c r="L618" i="2"/>
  <c r="K618" i="2" a="1"/>
  <c r="J618" i="2"/>
  <c r="I618" i="2"/>
  <c r="L617" i="2"/>
  <c r="K617" i="2" a="1"/>
  <c r="J617" i="2"/>
  <c r="I617" i="2"/>
  <c r="L616" i="2"/>
  <c r="K616" i="2" a="1"/>
  <c r="J616" i="2"/>
  <c r="I616" i="2"/>
  <c r="L615" i="2"/>
  <c r="K615" i="2" a="1"/>
  <c r="J615" i="2"/>
  <c r="I615" i="2"/>
  <c r="L614" i="2"/>
  <c r="K614" i="2" a="1"/>
  <c r="J614" i="2"/>
  <c r="I614" i="2"/>
  <c r="L613" i="2"/>
  <c r="K613" i="2" a="1"/>
  <c r="J613" i="2"/>
  <c r="I613" i="2"/>
  <c r="L612" i="2"/>
  <c r="K612" i="2" a="1"/>
  <c r="J612" i="2"/>
  <c r="I612" i="2"/>
  <c r="L611" i="2"/>
  <c r="K611" i="2" a="1"/>
  <c r="J611" i="2"/>
  <c r="I611" i="2"/>
  <c r="L610" i="2"/>
  <c r="K610" i="2" a="1"/>
  <c r="J610" i="2"/>
  <c r="I610" i="2"/>
  <c r="L609" i="2"/>
  <c r="K609" i="2" a="1"/>
  <c r="J609" i="2"/>
  <c r="I609" i="2"/>
  <c r="L608" i="2"/>
  <c r="K608" i="2" a="1"/>
  <c r="J608" i="2"/>
  <c r="I608" i="2"/>
  <c r="L607" i="2"/>
  <c r="K607" i="2" a="1"/>
  <c r="J607" i="2"/>
  <c r="I607" i="2"/>
  <c r="L606" i="2"/>
  <c r="K606" i="2" a="1"/>
  <c r="J606" i="2"/>
  <c r="I606" i="2"/>
  <c r="L605" i="2"/>
  <c r="K605" i="2" a="1"/>
  <c r="J605" i="2"/>
  <c r="I605" i="2"/>
  <c r="L604" i="2"/>
  <c r="K604" i="2" a="1"/>
  <c r="J604" i="2"/>
  <c r="I604" i="2"/>
  <c r="L603" i="2"/>
  <c r="K603" i="2" a="1"/>
  <c r="J603" i="2"/>
  <c r="I603" i="2"/>
  <c r="L602" i="2"/>
  <c r="K602" i="2" a="1"/>
  <c r="J602" i="2"/>
  <c r="I602" i="2"/>
  <c r="L601" i="2"/>
  <c r="K601" i="2" a="1"/>
  <c r="J601" i="2"/>
  <c r="I601" i="2"/>
  <c r="L600" i="2"/>
  <c r="K600" i="2" a="1"/>
  <c r="J600" i="2"/>
  <c r="I600" i="2"/>
  <c r="L599" i="2"/>
  <c r="K599" i="2" a="1"/>
  <c r="J599" i="2"/>
  <c r="I599" i="2"/>
  <c r="L598" i="2"/>
  <c r="K598" i="2" a="1"/>
  <c r="J598" i="2"/>
  <c r="I598" i="2"/>
  <c r="L597" i="2"/>
  <c r="K597" i="2" a="1"/>
  <c r="J597" i="2"/>
  <c r="I597" i="2"/>
  <c r="L596" i="2"/>
  <c r="K596" i="2" a="1"/>
  <c r="J596" i="2"/>
  <c r="I596" i="2"/>
  <c r="L595" i="2"/>
  <c r="K595" i="2" a="1"/>
  <c r="J595" i="2"/>
  <c r="I595" i="2"/>
  <c r="L594" i="2"/>
  <c r="K594" i="2" a="1"/>
  <c r="J594" i="2"/>
  <c r="I594" i="2"/>
  <c r="L593" i="2"/>
  <c r="K593" i="2" a="1"/>
  <c r="J593" i="2"/>
  <c r="I593" i="2"/>
  <c r="L592" i="2"/>
  <c r="K592" i="2" a="1"/>
  <c r="J592" i="2"/>
  <c r="I592" i="2"/>
  <c r="L591" i="2"/>
  <c r="K591" i="2" a="1"/>
  <c r="J591" i="2"/>
  <c r="I591" i="2"/>
  <c r="L590" i="2"/>
  <c r="K590" i="2" a="1"/>
  <c r="J590" i="2"/>
  <c r="I590" i="2"/>
  <c r="L589" i="2"/>
  <c r="K589" i="2" a="1"/>
  <c r="J589" i="2"/>
  <c r="I589" i="2"/>
  <c r="L588" i="2"/>
  <c r="K588" i="2" a="1"/>
  <c r="J588" i="2"/>
  <c r="I588" i="2"/>
  <c r="L587" i="2"/>
  <c r="K587" i="2" a="1"/>
  <c r="J587" i="2"/>
  <c r="I587" i="2"/>
  <c r="L586" i="2"/>
  <c r="K586" i="2" a="1"/>
  <c r="J586" i="2"/>
  <c r="I586" i="2"/>
  <c r="L585" i="2"/>
  <c r="K585" i="2" a="1"/>
  <c r="J585" i="2"/>
  <c r="I585" i="2"/>
  <c r="L584" i="2"/>
  <c r="K584" i="2" a="1"/>
  <c r="J584" i="2"/>
  <c r="I584" i="2"/>
  <c r="L583" i="2"/>
  <c r="K583" i="2" a="1"/>
  <c r="J583" i="2"/>
  <c r="I583" i="2"/>
  <c r="L582" i="2"/>
  <c r="K582" i="2" a="1"/>
  <c r="J582" i="2"/>
  <c r="I582" i="2"/>
  <c r="L581" i="2"/>
  <c r="K581" i="2" a="1"/>
  <c r="J581" i="2"/>
  <c r="I581" i="2"/>
  <c r="L580" i="2"/>
  <c r="K580" i="2" a="1"/>
  <c r="J580" i="2"/>
  <c r="I580" i="2"/>
  <c r="L579" i="2"/>
  <c r="K579" i="2" a="1"/>
  <c r="J579" i="2"/>
  <c r="I579" i="2"/>
  <c r="L578" i="2"/>
  <c r="K578" i="2" a="1"/>
  <c r="J578" i="2"/>
  <c r="I578" i="2"/>
  <c r="L577" i="2"/>
  <c r="K577" i="2" a="1"/>
  <c r="J577" i="2"/>
  <c r="I577" i="2"/>
  <c r="L576" i="2"/>
  <c r="K576" i="2" a="1"/>
  <c r="J576" i="2"/>
  <c r="I576" i="2"/>
  <c r="L575" i="2"/>
  <c r="K575" i="2" a="1"/>
  <c r="J575" i="2"/>
  <c r="I575" i="2"/>
  <c r="L574" i="2"/>
  <c r="K574" i="2" a="1"/>
  <c r="J574" i="2"/>
  <c r="I574" i="2"/>
  <c r="L573" i="2"/>
  <c r="K573" i="2" a="1"/>
  <c r="J573" i="2"/>
  <c r="I573" i="2"/>
  <c r="L572" i="2"/>
  <c r="K572" i="2" a="1"/>
  <c r="J572" i="2"/>
  <c r="I572" i="2"/>
  <c r="L571" i="2"/>
  <c r="K571" i="2" a="1"/>
  <c r="J571" i="2"/>
  <c r="I571" i="2"/>
  <c r="L570" i="2"/>
  <c r="K570" i="2" a="1"/>
  <c r="J570" i="2"/>
  <c r="I570" i="2"/>
  <c r="L569" i="2"/>
  <c r="K569" i="2" a="1"/>
  <c r="J569" i="2"/>
  <c r="I569" i="2"/>
  <c r="L568" i="2"/>
  <c r="K568" i="2" a="1"/>
  <c r="J568" i="2"/>
  <c r="I568" i="2"/>
  <c r="L567" i="2"/>
  <c r="K567" i="2" a="1"/>
  <c r="J567" i="2"/>
  <c r="I567" i="2"/>
  <c r="L566" i="2"/>
  <c r="K566" i="2" a="1"/>
  <c r="J566" i="2"/>
  <c r="I566" i="2"/>
  <c r="L565" i="2"/>
  <c r="K565" i="2" a="1"/>
  <c r="J565" i="2"/>
  <c r="I565" i="2"/>
  <c r="L564" i="2"/>
  <c r="K564" i="2" a="1"/>
  <c r="J564" i="2"/>
  <c r="I564" i="2"/>
  <c r="L563" i="2"/>
  <c r="K563" i="2" a="1"/>
  <c r="J563" i="2"/>
  <c r="I563" i="2"/>
  <c r="L562" i="2"/>
  <c r="K562" i="2" a="1"/>
  <c r="J562" i="2"/>
  <c r="I562" i="2"/>
  <c r="L561" i="2"/>
  <c r="K561" i="2" a="1"/>
  <c r="J561" i="2"/>
  <c r="I561" i="2"/>
  <c r="L560" i="2"/>
  <c r="K560" i="2" a="1"/>
  <c r="J560" i="2"/>
  <c r="I560" i="2"/>
  <c r="L559" i="2"/>
  <c r="K559" i="2" a="1"/>
  <c r="J559" i="2"/>
  <c r="I559" i="2"/>
  <c r="L558" i="2"/>
  <c r="K558" i="2" a="1"/>
  <c r="J558" i="2"/>
  <c r="I558" i="2"/>
  <c r="L557" i="2"/>
  <c r="K557" i="2" a="1"/>
  <c r="J557" i="2"/>
  <c r="I557" i="2"/>
  <c r="L556" i="2"/>
  <c r="K556" i="2" a="1"/>
  <c r="J556" i="2"/>
  <c r="I556" i="2"/>
  <c r="L555" i="2"/>
  <c r="K555" i="2" a="1"/>
  <c r="J555" i="2"/>
  <c r="I555" i="2"/>
  <c r="L554" i="2"/>
  <c r="K554" i="2" a="1"/>
  <c r="J554" i="2"/>
  <c r="I554" i="2"/>
  <c r="L553" i="2"/>
  <c r="K553" i="2" a="1"/>
  <c r="J553" i="2"/>
  <c r="I553" i="2"/>
  <c r="L552" i="2"/>
  <c r="K552" i="2" a="1"/>
  <c r="J552" i="2"/>
  <c r="I552" i="2"/>
  <c r="L551" i="2"/>
  <c r="K551" i="2" a="1"/>
  <c r="J551" i="2"/>
  <c r="I551" i="2"/>
  <c r="L550" i="2"/>
  <c r="K550" i="2" a="1"/>
  <c r="J550" i="2"/>
  <c r="I550" i="2"/>
  <c r="L549" i="2"/>
  <c r="K549" i="2" a="1"/>
  <c r="J549" i="2"/>
  <c r="I549" i="2"/>
  <c r="L548" i="2"/>
  <c r="K548" i="2" a="1"/>
  <c r="J548" i="2"/>
  <c r="I548" i="2"/>
  <c r="L547" i="2"/>
  <c r="K547" i="2" a="1"/>
  <c r="J547" i="2"/>
  <c r="I547" i="2"/>
  <c r="L546" i="2"/>
  <c r="K546" i="2" a="1"/>
  <c r="J546" i="2"/>
  <c r="I546" i="2"/>
  <c r="L545" i="2"/>
  <c r="K545" i="2" a="1"/>
  <c r="J545" i="2"/>
  <c r="I545" i="2"/>
  <c r="L544" i="2"/>
  <c r="K544" i="2" a="1"/>
  <c r="J544" i="2"/>
  <c r="I544" i="2"/>
  <c r="L543" i="2"/>
  <c r="K543" i="2" a="1"/>
  <c r="J543" i="2"/>
  <c r="I543" i="2"/>
  <c r="L542" i="2"/>
  <c r="K542" i="2" a="1"/>
  <c r="J542" i="2"/>
  <c r="I542" i="2"/>
  <c r="L541" i="2"/>
  <c r="K541" i="2" a="1"/>
  <c r="J541" i="2"/>
  <c r="I541" i="2"/>
  <c r="L540" i="2"/>
  <c r="K540" i="2" a="1"/>
  <c r="J540" i="2"/>
  <c r="I540" i="2"/>
  <c r="L539" i="2"/>
  <c r="K539" i="2" a="1"/>
  <c r="J539" i="2"/>
  <c r="I539" i="2"/>
  <c r="L538" i="2"/>
  <c r="K538" i="2" a="1"/>
  <c r="J538" i="2"/>
  <c r="I538" i="2"/>
  <c r="L537" i="2"/>
  <c r="K537" i="2" a="1"/>
  <c r="J537" i="2"/>
  <c r="I537" i="2"/>
  <c r="L536" i="2"/>
  <c r="K536" i="2" a="1"/>
  <c r="J536" i="2"/>
  <c r="I536" i="2"/>
  <c r="L535" i="2"/>
  <c r="K535" i="2" a="1"/>
  <c r="J535" i="2"/>
  <c r="I535" i="2"/>
  <c r="L534" i="2"/>
  <c r="K534" i="2" a="1"/>
  <c r="J534" i="2"/>
  <c r="I534" i="2"/>
  <c r="L533" i="2"/>
  <c r="K533" i="2" a="1"/>
  <c r="J533" i="2"/>
  <c r="I533" i="2"/>
  <c r="L532" i="2"/>
  <c r="K532" i="2" a="1"/>
  <c r="J532" i="2"/>
  <c r="I532" i="2"/>
  <c r="L531" i="2"/>
  <c r="K531" i="2" a="1"/>
  <c r="J531" i="2"/>
  <c r="I531" i="2"/>
  <c r="L530" i="2"/>
  <c r="K530" i="2" a="1"/>
  <c r="J530" i="2"/>
  <c r="I530" i="2"/>
  <c r="L529" i="2"/>
  <c r="K529" i="2" a="1"/>
  <c r="J529" i="2"/>
  <c r="I529" i="2"/>
  <c r="L528" i="2"/>
  <c r="K528" i="2" a="1"/>
  <c r="J528" i="2"/>
  <c r="I528" i="2"/>
  <c r="L527" i="2"/>
  <c r="K527" i="2" a="1"/>
  <c r="J527" i="2"/>
  <c r="I527" i="2"/>
  <c r="L526" i="2"/>
  <c r="K526" i="2" a="1"/>
  <c r="J526" i="2"/>
  <c r="I526" i="2"/>
  <c r="L525" i="2"/>
  <c r="K525" i="2" a="1"/>
  <c r="J525" i="2"/>
  <c r="I525" i="2"/>
  <c r="L524" i="2"/>
  <c r="K524" i="2" a="1"/>
  <c r="J524" i="2"/>
  <c r="I524" i="2"/>
  <c r="L523" i="2"/>
  <c r="K523" i="2" a="1"/>
  <c r="J523" i="2"/>
  <c r="I523" i="2"/>
  <c r="L522" i="2"/>
  <c r="K522" i="2" a="1"/>
  <c r="J522" i="2"/>
  <c r="I522" i="2"/>
  <c r="L521" i="2"/>
  <c r="K521" i="2" a="1"/>
  <c r="J521" i="2"/>
  <c r="I521" i="2"/>
  <c r="L520" i="2"/>
  <c r="K520" i="2" a="1"/>
  <c r="J520" i="2"/>
  <c r="I520" i="2"/>
  <c r="L519" i="2"/>
  <c r="K519" i="2" a="1"/>
  <c r="J519" i="2"/>
  <c r="I519" i="2"/>
  <c r="L518" i="2"/>
  <c r="K518" i="2" a="1"/>
  <c r="J518" i="2"/>
  <c r="I518" i="2"/>
  <c r="L517" i="2"/>
  <c r="K517" i="2" a="1"/>
  <c r="J517" i="2"/>
  <c r="I517" i="2"/>
  <c r="L516" i="2"/>
  <c r="K516" i="2" a="1"/>
  <c r="J516" i="2"/>
  <c r="I516" i="2"/>
  <c r="L515" i="2"/>
  <c r="K515" i="2" a="1"/>
  <c r="J515" i="2"/>
  <c r="I515" i="2"/>
  <c r="L514" i="2"/>
  <c r="K514" i="2" a="1"/>
  <c r="J514" i="2"/>
  <c r="I514" i="2"/>
  <c r="L513" i="2"/>
  <c r="K513" i="2" a="1"/>
  <c r="J513" i="2"/>
  <c r="I513" i="2"/>
  <c r="L512" i="2"/>
  <c r="K512" i="2" a="1"/>
  <c r="J512" i="2"/>
  <c r="I512" i="2"/>
  <c r="L511" i="2"/>
  <c r="K511" i="2" a="1"/>
  <c r="J511" i="2"/>
  <c r="I511" i="2"/>
  <c r="L510" i="2"/>
  <c r="K510" i="2" a="1"/>
  <c r="J510" i="2"/>
  <c r="I510" i="2"/>
  <c r="L509" i="2"/>
  <c r="K509" i="2" a="1"/>
  <c r="J509" i="2"/>
  <c r="I509" i="2"/>
  <c r="L508" i="2"/>
  <c r="K508" i="2" a="1"/>
  <c r="J508" i="2"/>
  <c r="I508" i="2"/>
  <c r="L507" i="2"/>
  <c r="K507" i="2" a="1"/>
  <c r="J507" i="2"/>
  <c r="I507" i="2"/>
  <c r="L506" i="2"/>
  <c r="K506" i="2" a="1"/>
  <c r="J506" i="2"/>
  <c r="I506" i="2"/>
  <c r="L505" i="2"/>
  <c r="K505" i="2" a="1"/>
  <c r="J505" i="2"/>
  <c r="I505" i="2"/>
  <c r="L504" i="2"/>
  <c r="K504" i="2" a="1"/>
  <c r="J504" i="2"/>
  <c r="I504" i="2"/>
  <c r="L503" i="2"/>
  <c r="K503" i="2" a="1"/>
  <c r="J503" i="2"/>
  <c r="I503" i="2"/>
  <c r="L502" i="2"/>
  <c r="K502" i="2" a="1"/>
  <c r="J502" i="2"/>
  <c r="I502" i="2"/>
  <c r="L501" i="2"/>
  <c r="K501" i="2" a="1"/>
  <c r="J501" i="2"/>
  <c r="I501" i="2"/>
  <c r="L500" i="2"/>
  <c r="K500" i="2" a="1"/>
  <c r="J500" i="2"/>
  <c r="I500" i="2"/>
  <c r="L499" i="2"/>
  <c r="K499" i="2" a="1"/>
  <c r="J499" i="2"/>
  <c r="I499" i="2"/>
  <c r="L498" i="2"/>
  <c r="K498" i="2" a="1"/>
  <c r="J498" i="2"/>
  <c r="I498" i="2"/>
  <c r="L497" i="2"/>
  <c r="K497" i="2" a="1"/>
  <c r="J497" i="2"/>
  <c r="I497" i="2"/>
  <c r="L496" i="2"/>
  <c r="K496" i="2" a="1"/>
  <c r="J496" i="2"/>
  <c r="I496" i="2"/>
  <c r="L495" i="2"/>
  <c r="K495" i="2" a="1"/>
  <c r="J495" i="2"/>
  <c r="I495" i="2"/>
  <c r="L494" i="2"/>
  <c r="K494" i="2" a="1"/>
  <c r="J494" i="2"/>
  <c r="I494" i="2"/>
  <c r="L493" i="2"/>
  <c r="K493" i="2" a="1"/>
  <c r="J493" i="2"/>
  <c r="I493" i="2"/>
  <c r="L492" i="2"/>
  <c r="K492" i="2" a="1"/>
  <c r="J492" i="2"/>
  <c r="I492" i="2"/>
  <c r="L491" i="2"/>
  <c r="K491" i="2" a="1"/>
  <c r="J491" i="2"/>
  <c r="I491" i="2"/>
  <c r="L490" i="2"/>
  <c r="K490" i="2" a="1"/>
  <c r="J490" i="2"/>
  <c r="I490" i="2"/>
  <c r="L489" i="2"/>
  <c r="K489" i="2" a="1"/>
  <c r="J489" i="2"/>
  <c r="I489" i="2"/>
  <c r="L488" i="2"/>
  <c r="K488" i="2" a="1"/>
  <c r="J488" i="2"/>
  <c r="I488" i="2"/>
  <c r="L487" i="2"/>
  <c r="K487" i="2" a="1"/>
  <c r="J487" i="2"/>
  <c r="I487" i="2"/>
  <c r="L486" i="2"/>
  <c r="K486" i="2" a="1"/>
  <c r="J486" i="2"/>
  <c r="I486" i="2"/>
  <c r="L485" i="2"/>
  <c r="K485" i="2" a="1"/>
  <c r="J485" i="2"/>
  <c r="I485" i="2"/>
  <c r="L484" i="2"/>
  <c r="K484" i="2" a="1"/>
  <c r="J484" i="2"/>
  <c r="I484" i="2"/>
  <c r="L483" i="2"/>
  <c r="K483" i="2" a="1"/>
  <c r="J483" i="2"/>
  <c r="I483" i="2"/>
  <c r="L482" i="2"/>
  <c r="K482" i="2" a="1"/>
  <c r="J482" i="2"/>
  <c r="I482" i="2"/>
  <c r="L481" i="2"/>
  <c r="K481" i="2" a="1"/>
  <c r="J481" i="2"/>
  <c r="I481" i="2"/>
  <c r="L480" i="2"/>
  <c r="K480" i="2" a="1"/>
  <c r="J480" i="2"/>
  <c r="I480" i="2"/>
  <c r="L479" i="2"/>
  <c r="K479" i="2" a="1"/>
  <c r="J479" i="2"/>
  <c r="I479" i="2"/>
  <c r="L478" i="2"/>
  <c r="K478" i="2" a="1"/>
  <c r="J478" i="2"/>
  <c r="I478" i="2"/>
  <c r="L477" i="2"/>
  <c r="K477" i="2" a="1"/>
  <c r="J477" i="2"/>
  <c r="I477" i="2"/>
  <c r="L476" i="2"/>
  <c r="K476" i="2" a="1"/>
  <c r="J476" i="2"/>
  <c r="I476" i="2"/>
  <c r="L475" i="2"/>
  <c r="K475" i="2" a="1"/>
  <c r="J475" i="2"/>
  <c r="I475" i="2"/>
  <c r="L474" i="2"/>
  <c r="K474" i="2" a="1"/>
  <c r="J474" i="2"/>
  <c r="I474" i="2"/>
  <c r="L473" i="2"/>
  <c r="K473" i="2" a="1"/>
  <c r="J473" i="2"/>
  <c r="I473" i="2"/>
  <c r="L472" i="2"/>
  <c r="K472" i="2" a="1"/>
  <c r="J472" i="2"/>
  <c r="I472" i="2"/>
  <c r="L471" i="2"/>
  <c r="K471" i="2" a="1"/>
  <c r="J471" i="2"/>
  <c r="I471" i="2"/>
  <c r="L470" i="2"/>
  <c r="K470" i="2" a="1"/>
  <c r="J470" i="2"/>
  <c r="I470" i="2"/>
  <c r="L469" i="2"/>
  <c r="K469" i="2" a="1"/>
  <c r="J469" i="2"/>
  <c r="I469" i="2"/>
  <c r="L468" i="2"/>
  <c r="K468" i="2" a="1"/>
  <c r="J468" i="2"/>
  <c r="I468" i="2"/>
  <c r="L467" i="2"/>
  <c r="K467" i="2" a="1"/>
  <c r="J467" i="2"/>
  <c r="I467" i="2"/>
  <c r="L466" i="2"/>
  <c r="K466" i="2" a="1"/>
  <c r="J466" i="2"/>
  <c r="I466" i="2"/>
  <c r="L465" i="2"/>
  <c r="K465" i="2" a="1"/>
  <c r="J465" i="2"/>
  <c r="I465" i="2"/>
  <c r="L464" i="2"/>
  <c r="K464" i="2" a="1"/>
  <c r="J464" i="2"/>
  <c r="I464" i="2"/>
  <c r="L463" i="2"/>
  <c r="K463" i="2" a="1"/>
  <c r="J463" i="2"/>
  <c r="I463" i="2"/>
  <c r="L462" i="2"/>
  <c r="K462" i="2" a="1"/>
  <c r="J462" i="2"/>
  <c r="I462" i="2"/>
  <c r="L461" i="2"/>
  <c r="K461" i="2" a="1"/>
  <c r="J461" i="2"/>
  <c r="I461" i="2"/>
  <c r="L460" i="2"/>
  <c r="K460" i="2" a="1"/>
  <c r="J460" i="2"/>
  <c r="I460" i="2"/>
  <c r="L459" i="2"/>
  <c r="K459" i="2" a="1"/>
  <c r="J459" i="2"/>
  <c r="I459" i="2"/>
  <c r="L458" i="2"/>
  <c r="K458" i="2" a="1"/>
  <c r="J458" i="2"/>
  <c r="I458" i="2"/>
  <c r="L457" i="2"/>
  <c r="K457" i="2" a="1"/>
  <c r="J457" i="2"/>
  <c r="I457" i="2"/>
  <c r="L456" i="2"/>
  <c r="K456" i="2" a="1"/>
  <c r="J456" i="2"/>
  <c r="I456" i="2"/>
  <c r="L455" i="2"/>
  <c r="K455" i="2" a="1"/>
  <c r="J455" i="2"/>
  <c r="I455" i="2"/>
  <c r="L454" i="2"/>
  <c r="K454" i="2" a="1"/>
  <c r="J454" i="2"/>
  <c r="I454" i="2"/>
  <c r="L453" i="2"/>
  <c r="K453" i="2" a="1"/>
  <c r="J453" i="2"/>
  <c r="I453" i="2"/>
  <c r="L452" i="2"/>
  <c r="K452" i="2" a="1"/>
  <c r="J452" i="2"/>
  <c r="I452" i="2"/>
  <c r="L451" i="2"/>
  <c r="K451" i="2" a="1"/>
  <c r="J451" i="2"/>
  <c r="I451" i="2"/>
  <c r="L450" i="2"/>
  <c r="K450" i="2" a="1"/>
  <c r="J450" i="2"/>
  <c r="I450" i="2"/>
  <c r="L449" i="2"/>
  <c r="K449" i="2" a="1"/>
  <c r="J449" i="2"/>
  <c r="I449" i="2"/>
  <c r="L448" i="2"/>
  <c r="K448" i="2" a="1"/>
  <c r="J448" i="2"/>
  <c r="I448" i="2"/>
  <c r="L447" i="2"/>
  <c r="K447" i="2" a="1"/>
  <c r="J447" i="2"/>
  <c r="I447" i="2"/>
  <c r="L446" i="2"/>
  <c r="K446" i="2" a="1"/>
  <c r="J446" i="2"/>
  <c r="I446" i="2"/>
  <c r="L445" i="2"/>
  <c r="K445" i="2" a="1"/>
  <c r="J445" i="2"/>
  <c r="I445" i="2"/>
  <c r="L444" i="2"/>
  <c r="K444" i="2" a="1"/>
  <c r="J444" i="2"/>
  <c r="I444" i="2"/>
  <c r="L443" i="2"/>
  <c r="K443" i="2" a="1"/>
  <c r="J443" i="2"/>
  <c r="I443" i="2"/>
  <c r="L442" i="2"/>
  <c r="K442" i="2" a="1"/>
  <c r="J442" i="2"/>
  <c r="I442" i="2"/>
  <c r="L441" i="2"/>
  <c r="K441" i="2" a="1"/>
  <c r="J441" i="2"/>
  <c r="I441" i="2"/>
  <c r="L440" i="2"/>
  <c r="K440" i="2" a="1"/>
  <c r="J440" i="2"/>
  <c r="I440" i="2"/>
  <c r="L439" i="2"/>
  <c r="K439" i="2" a="1"/>
  <c r="J439" i="2"/>
  <c r="I439" i="2"/>
  <c r="L438" i="2"/>
  <c r="K438" i="2" a="1"/>
  <c r="J438" i="2"/>
  <c r="I438" i="2"/>
  <c r="L437" i="2"/>
  <c r="K437" i="2" a="1"/>
  <c r="J437" i="2"/>
  <c r="I437" i="2"/>
  <c r="L436" i="2"/>
  <c r="K436" i="2" a="1"/>
  <c r="J436" i="2"/>
  <c r="I436" i="2"/>
  <c r="L435" i="2"/>
  <c r="K435" i="2" a="1"/>
  <c r="J435" i="2"/>
  <c r="I435" i="2"/>
  <c r="L434" i="2"/>
  <c r="K434" i="2" a="1"/>
  <c r="J434" i="2"/>
  <c r="I434" i="2"/>
  <c r="L433" i="2"/>
  <c r="K433" i="2" a="1"/>
  <c r="J433" i="2"/>
  <c r="I433" i="2"/>
  <c r="L432" i="2"/>
  <c r="K432" i="2" a="1"/>
  <c r="J432" i="2"/>
  <c r="I432" i="2"/>
  <c r="L431" i="2"/>
  <c r="K431" i="2" a="1"/>
  <c r="J431" i="2"/>
  <c r="I431" i="2"/>
  <c r="L430" i="2"/>
  <c r="K430" i="2" a="1"/>
  <c r="J430" i="2"/>
  <c r="I430" i="2"/>
  <c r="L429" i="2"/>
  <c r="K429" i="2" a="1"/>
  <c r="J429" i="2"/>
  <c r="I429" i="2"/>
  <c r="L428" i="2"/>
  <c r="K428" i="2" a="1"/>
  <c r="J428" i="2"/>
  <c r="I428" i="2"/>
  <c r="L427" i="2"/>
  <c r="K427" i="2" a="1"/>
  <c r="J427" i="2"/>
  <c r="I427" i="2"/>
  <c r="L426" i="2"/>
  <c r="K426" i="2" a="1"/>
  <c r="J426" i="2"/>
  <c r="I426" i="2"/>
  <c r="L425" i="2"/>
  <c r="K425" i="2" a="1"/>
  <c r="J425" i="2"/>
  <c r="I425" i="2"/>
  <c r="L424" i="2"/>
  <c r="K424" i="2" a="1"/>
  <c r="J424" i="2"/>
  <c r="I424" i="2"/>
  <c r="L423" i="2"/>
  <c r="K423" i="2" a="1"/>
  <c r="J423" i="2"/>
  <c r="I423" i="2"/>
  <c r="L422" i="2"/>
  <c r="K422" i="2" a="1"/>
  <c r="J422" i="2"/>
  <c r="I422" i="2"/>
  <c r="L421" i="2"/>
  <c r="K421" i="2" a="1"/>
  <c r="J421" i="2"/>
  <c r="I421" i="2"/>
  <c r="L420" i="2"/>
  <c r="K420" i="2" a="1"/>
  <c r="J420" i="2"/>
  <c r="I420" i="2"/>
  <c r="L419" i="2"/>
  <c r="K419" i="2" a="1"/>
  <c r="J419" i="2"/>
  <c r="I419" i="2"/>
  <c r="L418" i="2"/>
  <c r="K418" i="2" a="1"/>
  <c r="J418" i="2"/>
  <c r="I418" i="2"/>
  <c r="L417" i="2"/>
  <c r="K417" i="2" a="1"/>
  <c r="J417" i="2"/>
  <c r="I417" i="2"/>
  <c r="L416" i="2"/>
  <c r="K416" i="2" a="1"/>
  <c r="J416" i="2"/>
  <c r="I416" i="2"/>
  <c r="L415" i="2"/>
  <c r="K415" i="2" a="1"/>
  <c r="J415" i="2"/>
  <c r="I415" i="2"/>
  <c r="L414" i="2"/>
  <c r="K414" i="2" a="1"/>
  <c r="J414" i="2"/>
  <c r="I414" i="2"/>
  <c r="L413" i="2"/>
  <c r="K413" i="2" a="1"/>
  <c r="J413" i="2"/>
  <c r="I413" i="2"/>
  <c r="L412" i="2"/>
  <c r="K412" i="2" a="1"/>
  <c r="J412" i="2"/>
  <c r="I412" i="2"/>
  <c r="L411" i="2"/>
  <c r="K411" i="2" a="1"/>
  <c r="J411" i="2"/>
  <c r="I411" i="2"/>
  <c r="L410" i="2"/>
  <c r="K410" i="2" a="1"/>
  <c r="J410" i="2"/>
  <c r="I410" i="2"/>
  <c r="L409" i="2"/>
  <c r="K409" i="2" a="1"/>
  <c r="J409" i="2"/>
  <c r="I409" i="2"/>
  <c r="L408" i="2"/>
  <c r="K408" i="2" a="1"/>
  <c r="J408" i="2"/>
  <c r="I408" i="2"/>
  <c r="L407" i="2"/>
  <c r="K407" i="2" a="1"/>
  <c r="J407" i="2"/>
  <c r="I407" i="2"/>
  <c r="L406" i="2"/>
  <c r="K406" i="2" a="1"/>
  <c r="J406" i="2"/>
  <c r="I406" i="2"/>
  <c r="L405" i="2"/>
  <c r="K405" i="2" a="1"/>
  <c r="J405" i="2"/>
  <c r="I405" i="2"/>
  <c r="L404" i="2"/>
  <c r="K404" i="2" a="1"/>
  <c r="J404" i="2"/>
  <c r="I404" i="2"/>
  <c r="L403" i="2"/>
  <c r="K403" i="2" a="1"/>
  <c r="J403" i="2"/>
  <c r="I403" i="2"/>
  <c r="L402" i="2"/>
  <c r="K402" i="2" a="1"/>
  <c r="J402" i="2"/>
  <c r="I402" i="2"/>
  <c r="L401" i="2"/>
  <c r="K401" i="2" a="1"/>
  <c r="J401" i="2"/>
  <c r="I401" i="2"/>
  <c r="L400" i="2"/>
  <c r="K400" i="2" a="1"/>
  <c r="J400" i="2"/>
  <c r="I400" i="2"/>
  <c r="L399" i="2"/>
  <c r="K399" i="2" a="1"/>
  <c r="J399" i="2"/>
  <c r="I399" i="2"/>
  <c r="L398" i="2"/>
  <c r="K398" i="2" a="1"/>
  <c r="J398" i="2"/>
  <c r="I398" i="2"/>
  <c r="L397" i="2"/>
  <c r="K397" i="2" a="1"/>
  <c r="J397" i="2"/>
  <c r="I397" i="2"/>
  <c r="L396" i="2"/>
  <c r="K396" i="2" a="1"/>
  <c r="J396" i="2"/>
  <c r="I396" i="2"/>
  <c r="L395" i="2"/>
  <c r="K395" i="2" a="1"/>
  <c r="J395" i="2"/>
  <c r="I395" i="2"/>
  <c r="L394" i="2"/>
  <c r="K394" i="2" a="1"/>
  <c r="J394" i="2"/>
  <c r="I394" i="2"/>
  <c r="L393" i="2"/>
  <c r="K393" i="2" a="1"/>
  <c r="J393" i="2"/>
  <c r="I393" i="2"/>
  <c r="L392" i="2"/>
  <c r="K392" i="2" a="1"/>
  <c r="J392" i="2"/>
  <c r="I392" i="2"/>
  <c r="L391" i="2"/>
  <c r="K391" i="2" a="1"/>
  <c r="J391" i="2"/>
  <c r="I391" i="2"/>
  <c r="L390" i="2"/>
  <c r="K390" i="2" a="1"/>
  <c r="J390" i="2"/>
  <c r="I390" i="2"/>
  <c r="L389" i="2"/>
  <c r="K389" i="2" a="1"/>
  <c r="J389" i="2"/>
  <c r="I389" i="2"/>
  <c r="L388" i="2"/>
  <c r="K388" i="2" a="1"/>
  <c r="J388" i="2"/>
  <c r="I388" i="2"/>
  <c r="L387" i="2"/>
  <c r="K387" i="2" a="1"/>
  <c r="J387" i="2"/>
  <c r="I387" i="2"/>
  <c r="L386" i="2"/>
  <c r="K386" i="2" a="1"/>
  <c r="J386" i="2"/>
  <c r="I386" i="2"/>
  <c r="L385" i="2"/>
  <c r="K385" i="2" a="1"/>
  <c r="J385" i="2"/>
  <c r="I385" i="2"/>
  <c r="L384" i="2"/>
  <c r="K384" i="2" a="1"/>
  <c r="J384" i="2"/>
  <c r="I384" i="2"/>
  <c r="L383" i="2"/>
  <c r="K383" i="2" a="1"/>
  <c r="J383" i="2"/>
  <c r="I383" i="2"/>
  <c r="L382" i="2"/>
  <c r="K382" i="2" a="1"/>
  <c r="J382" i="2"/>
  <c r="I382" i="2"/>
  <c r="L381" i="2"/>
  <c r="K381" i="2" a="1"/>
  <c r="J381" i="2"/>
  <c r="I381" i="2"/>
  <c r="L380" i="2"/>
  <c r="K380" i="2" a="1"/>
  <c r="J380" i="2"/>
  <c r="I380" i="2"/>
  <c r="L379" i="2"/>
  <c r="K379" i="2" a="1"/>
  <c r="J379" i="2"/>
  <c r="I379" i="2"/>
  <c r="L378" i="2"/>
  <c r="K378" i="2" a="1"/>
  <c r="J378" i="2"/>
  <c r="I378" i="2"/>
  <c r="L377" i="2"/>
  <c r="K377" i="2" a="1"/>
  <c r="J377" i="2"/>
  <c r="I377" i="2"/>
  <c r="L376" i="2"/>
  <c r="K376" i="2" a="1"/>
  <c r="J376" i="2"/>
  <c r="I376" i="2"/>
  <c r="L375" i="2"/>
  <c r="K375" i="2" a="1"/>
  <c r="J375" i="2"/>
  <c r="I375" i="2"/>
  <c r="L374" i="2"/>
  <c r="K374" i="2" a="1"/>
  <c r="J374" i="2"/>
  <c r="I374" i="2"/>
  <c r="L373" i="2"/>
  <c r="K373" i="2" a="1"/>
  <c r="J373" i="2"/>
  <c r="I373" i="2"/>
  <c r="L372" i="2"/>
  <c r="K372" i="2" a="1"/>
  <c r="J372" i="2"/>
  <c r="I372" i="2"/>
  <c r="L371" i="2"/>
  <c r="K371" i="2" a="1"/>
  <c r="J371" i="2"/>
  <c r="I371" i="2"/>
  <c r="L370" i="2"/>
  <c r="K370" i="2" a="1"/>
  <c r="J370" i="2"/>
  <c r="I370" i="2"/>
  <c r="L369" i="2"/>
  <c r="K369" i="2" a="1"/>
  <c r="J369" i="2"/>
  <c r="I369" i="2"/>
  <c r="L368" i="2"/>
  <c r="K368" i="2" a="1"/>
  <c r="J368" i="2"/>
  <c r="I368" i="2"/>
  <c r="L367" i="2"/>
  <c r="K367" i="2" a="1"/>
  <c r="J367" i="2"/>
  <c r="I367" i="2"/>
  <c r="L366" i="2"/>
  <c r="K366" i="2" a="1"/>
  <c r="J366" i="2"/>
  <c r="I366" i="2"/>
  <c r="L365" i="2"/>
  <c r="K365" i="2" a="1"/>
  <c r="J365" i="2"/>
  <c r="I365" i="2"/>
  <c r="L364" i="2"/>
  <c r="K364" i="2" a="1"/>
  <c r="J364" i="2"/>
  <c r="I364" i="2"/>
  <c r="L363" i="2"/>
  <c r="K363" i="2" a="1"/>
  <c r="J363" i="2"/>
  <c r="I363" i="2"/>
  <c r="L362" i="2"/>
  <c r="K362" i="2" a="1"/>
  <c r="J362" i="2"/>
  <c r="I362" i="2"/>
  <c r="L361" i="2"/>
  <c r="K361" i="2" a="1"/>
  <c r="J361" i="2"/>
  <c r="I361" i="2"/>
  <c r="L360" i="2"/>
  <c r="K360" i="2" a="1"/>
  <c r="J360" i="2"/>
  <c r="I360" i="2"/>
  <c r="L359" i="2"/>
  <c r="K359" i="2" a="1"/>
  <c r="J359" i="2"/>
  <c r="I359" i="2"/>
  <c r="L358" i="2"/>
  <c r="K358" i="2" a="1"/>
  <c r="J358" i="2"/>
  <c r="I358" i="2"/>
  <c r="L357" i="2"/>
  <c r="K357" i="2" a="1"/>
  <c r="J357" i="2"/>
  <c r="I357" i="2"/>
  <c r="L356" i="2"/>
  <c r="K356" i="2" a="1"/>
  <c r="J356" i="2"/>
  <c r="I356" i="2"/>
  <c r="L355" i="2"/>
  <c r="K355" i="2" a="1"/>
  <c r="J355" i="2"/>
  <c r="I355" i="2"/>
  <c r="L354" i="2"/>
  <c r="K354" i="2" a="1"/>
  <c r="J354" i="2"/>
  <c r="I354" i="2"/>
  <c r="L353" i="2"/>
  <c r="K353" i="2" a="1"/>
  <c r="J353" i="2"/>
  <c r="I353" i="2"/>
  <c r="L352" i="2"/>
  <c r="K352" i="2" a="1"/>
  <c r="J352" i="2"/>
  <c r="I352" i="2"/>
  <c r="L351" i="2"/>
  <c r="K351" i="2" a="1"/>
  <c r="J351" i="2"/>
  <c r="I351" i="2"/>
  <c r="L350" i="2"/>
  <c r="K350" i="2" a="1"/>
  <c r="J350" i="2"/>
  <c r="I350" i="2"/>
  <c r="L349" i="2"/>
  <c r="K349" i="2" a="1"/>
  <c r="J349" i="2"/>
  <c r="I349" i="2"/>
  <c r="L348" i="2"/>
  <c r="K348" i="2" a="1"/>
  <c r="J348" i="2"/>
  <c r="I348" i="2"/>
  <c r="L347" i="2"/>
  <c r="K347" i="2" a="1"/>
  <c r="J347" i="2"/>
  <c r="I347" i="2"/>
  <c r="L346" i="2"/>
  <c r="K346" i="2" a="1"/>
  <c r="J346" i="2"/>
  <c r="I346" i="2"/>
  <c r="L345" i="2"/>
  <c r="K345" i="2" a="1"/>
  <c r="J345" i="2"/>
  <c r="I345" i="2"/>
  <c r="L344" i="2"/>
  <c r="K344" i="2" a="1"/>
  <c r="J344" i="2"/>
  <c r="I344" i="2"/>
  <c r="L343" i="2"/>
  <c r="K343" i="2" a="1"/>
  <c r="J343" i="2"/>
  <c r="I343" i="2"/>
  <c r="L342" i="2"/>
  <c r="K342" i="2" a="1"/>
  <c r="J342" i="2"/>
  <c r="I342" i="2"/>
  <c r="L341" i="2"/>
  <c r="K341" i="2" a="1"/>
  <c r="J341" i="2"/>
  <c r="I341" i="2"/>
  <c r="L340" i="2"/>
  <c r="K340" i="2" a="1"/>
  <c r="J340" i="2"/>
  <c r="I340" i="2"/>
  <c r="L339" i="2"/>
  <c r="K339" i="2" a="1"/>
  <c r="J339" i="2"/>
  <c r="I339" i="2"/>
  <c r="L338" i="2"/>
  <c r="K338" i="2" a="1"/>
  <c r="J338" i="2"/>
  <c r="I338" i="2"/>
  <c r="L337" i="2"/>
  <c r="K337" i="2" a="1"/>
  <c r="J337" i="2"/>
  <c r="I337" i="2"/>
  <c r="L336" i="2"/>
  <c r="K336" i="2" a="1"/>
  <c r="J336" i="2"/>
  <c r="I336" i="2"/>
  <c r="L335" i="2"/>
  <c r="K335" i="2" a="1"/>
  <c r="J335" i="2"/>
  <c r="I335" i="2"/>
  <c r="L334" i="2"/>
  <c r="K334" i="2" a="1"/>
  <c r="J334" i="2"/>
  <c r="I334" i="2"/>
  <c r="L333" i="2"/>
  <c r="K333" i="2" a="1"/>
  <c r="J333" i="2"/>
  <c r="I333" i="2"/>
  <c r="L332" i="2"/>
  <c r="K332" i="2" a="1"/>
  <c r="J332" i="2"/>
  <c r="I332" i="2"/>
  <c r="L331" i="2"/>
  <c r="K331" i="2" a="1"/>
  <c r="J331" i="2"/>
  <c r="I331" i="2"/>
  <c r="L330" i="2"/>
  <c r="K330" i="2" a="1"/>
  <c r="J330" i="2"/>
  <c r="I330" i="2"/>
  <c r="L329" i="2"/>
  <c r="K329" i="2" a="1"/>
  <c r="J329" i="2"/>
  <c r="I329" i="2"/>
  <c r="L328" i="2"/>
  <c r="K328" i="2" a="1"/>
  <c r="J328" i="2"/>
  <c r="I328" i="2"/>
  <c r="L327" i="2"/>
  <c r="K327" i="2" a="1"/>
  <c r="J327" i="2"/>
  <c r="I327" i="2"/>
  <c r="L326" i="2"/>
  <c r="K326" i="2" a="1"/>
  <c r="J326" i="2"/>
  <c r="I326" i="2"/>
  <c r="L325" i="2"/>
  <c r="K325" i="2" a="1"/>
  <c r="J325" i="2"/>
  <c r="I325" i="2"/>
  <c r="L324" i="2"/>
  <c r="K324" i="2" a="1"/>
  <c r="J324" i="2"/>
  <c r="I324" i="2"/>
  <c r="L323" i="2"/>
  <c r="K323" i="2" a="1"/>
  <c r="J323" i="2"/>
  <c r="I323" i="2"/>
  <c r="L322" i="2"/>
  <c r="K322" i="2" a="1"/>
  <c r="J322" i="2"/>
  <c r="I322" i="2"/>
  <c r="L321" i="2"/>
  <c r="K321" i="2" a="1"/>
  <c r="J321" i="2"/>
  <c r="I321" i="2"/>
  <c r="L320" i="2"/>
  <c r="K320" i="2" a="1"/>
  <c r="J320" i="2"/>
  <c r="I320" i="2"/>
  <c r="L319" i="2"/>
  <c r="K319" i="2" a="1"/>
  <c r="J319" i="2"/>
  <c r="I319" i="2"/>
  <c r="L318" i="2"/>
  <c r="K318" i="2" a="1"/>
  <c r="J318" i="2"/>
  <c r="I318" i="2"/>
  <c r="L317" i="2"/>
  <c r="K317" i="2" a="1"/>
  <c r="J317" i="2"/>
  <c r="I317" i="2"/>
  <c r="L316" i="2"/>
  <c r="K316" i="2" a="1"/>
  <c r="J316" i="2"/>
  <c r="I316" i="2"/>
  <c r="L315" i="2"/>
  <c r="K315" i="2" a="1"/>
  <c r="J315" i="2"/>
  <c r="I315" i="2"/>
  <c r="L314" i="2"/>
  <c r="K314" i="2" a="1"/>
  <c r="J314" i="2"/>
  <c r="I314" i="2"/>
  <c r="L313" i="2"/>
  <c r="K313" i="2" a="1"/>
  <c r="J313" i="2"/>
  <c r="I313" i="2"/>
  <c r="L312" i="2"/>
  <c r="K312" i="2" a="1"/>
  <c r="J312" i="2"/>
  <c r="I312" i="2"/>
  <c r="L311" i="2"/>
  <c r="K311" i="2" a="1"/>
  <c r="J311" i="2"/>
  <c r="I311" i="2"/>
  <c r="L310" i="2"/>
  <c r="K310" i="2" a="1"/>
  <c r="J310" i="2"/>
  <c r="I310" i="2"/>
  <c r="L309" i="2"/>
  <c r="K309" i="2" a="1"/>
  <c r="J309" i="2"/>
  <c r="I309" i="2"/>
  <c r="L308" i="2"/>
  <c r="K308" i="2" a="1"/>
  <c r="J308" i="2"/>
  <c r="I308" i="2"/>
  <c r="L307" i="2"/>
  <c r="K307" i="2" a="1"/>
  <c r="J307" i="2"/>
  <c r="I307" i="2"/>
  <c r="L306" i="2"/>
  <c r="K306" i="2" a="1"/>
  <c r="J306" i="2"/>
  <c r="I306" i="2"/>
  <c r="L305" i="2"/>
  <c r="K305" i="2" a="1"/>
  <c r="J305" i="2"/>
  <c r="I305" i="2"/>
  <c r="L304" i="2"/>
  <c r="K304" i="2" a="1"/>
  <c r="J304" i="2"/>
  <c r="I304" i="2"/>
  <c r="L303" i="2"/>
  <c r="K303" i="2" a="1"/>
  <c r="J303" i="2"/>
  <c r="I303" i="2"/>
  <c r="L302" i="2"/>
  <c r="K302" i="2" a="1"/>
  <c r="J302" i="2"/>
  <c r="I302" i="2"/>
  <c r="L301" i="2"/>
  <c r="K301" i="2" a="1"/>
  <c r="J301" i="2"/>
  <c r="I301" i="2"/>
  <c r="L300" i="2"/>
  <c r="K300" i="2" a="1"/>
  <c r="J300" i="2"/>
  <c r="I300" i="2"/>
  <c r="L299" i="2"/>
  <c r="K299" i="2" a="1"/>
  <c r="J299" i="2"/>
  <c r="I299" i="2"/>
  <c r="L298" i="2"/>
  <c r="K298" i="2" a="1"/>
  <c r="J298" i="2"/>
  <c r="I298" i="2"/>
  <c r="L297" i="2"/>
  <c r="K297" i="2" a="1"/>
  <c r="J297" i="2"/>
  <c r="I297" i="2"/>
  <c r="L296" i="2"/>
  <c r="K296" i="2" a="1"/>
  <c r="J296" i="2"/>
  <c r="I296" i="2"/>
  <c r="L295" i="2"/>
  <c r="K295" i="2" a="1"/>
  <c r="J295" i="2"/>
  <c r="I295" i="2"/>
  <c r="L294" i="2"/>
  <c r="K294" i="2" a="1"/>
  <c r="J294" i="2"/>
  <c r="I294" i="2"/>
  <c r="L293" i="2"/>
  <c r="K293" i="2" a="1"/>
  <c r="J293" i="2"/>
  <c r="I293" i="2"/>
  <c r="L292" i="2"/>
  <c r="K292" i="2" a="1"/>
  <c r="J292" i="2"/>
  <c r="I292" i="2"/>
  <c r="L291" i="2"/>
  <c r="K291" i="2" a="1"/>
  <c r="J291" i="2"/>
  <c r="I291" i="2"/>
  <c r="L290" i="2"/>
  <c r="K290" i="2" a="1"/>
  <c r="J290" i="2"/>
  <c r="I290" i="2"/>
  <c r="L289" i="2"/>
  <c r="K289" i="2" a="1"/>
  <c r="J289" i="2"/>
  <c r="I289" i="2"/>
  <c r="L288" i="2"/>
  <c r="K288" i="2" a="1"/>
  <c r="J288" i="2"/>
  <c r="I288" i="2"/>
  <c r="L287" i="2"/>
  <c r="K287" i="2" a="1"/>
  <c r="J287" i="2"/>
  <c r="I287" i="2"/>
  <c r="L286" i="2"/>
  <c r="K286" i="2" a="1"/>
  <c r="J286" i="2"/>
  <c r="I286" i="2"/>
  <c r="L285" i="2"/>
  <c r="K285" i="2" a="1"/>
  <c r="J285" i="2"/>
  <c r="I285" i="2"/>
  <c r="L284" i="2"/>
  <c r="K284" i="2" a="1"/>
  <c r="J284" i="2"/>
  <c r="I284" i="2"/>
  <c r="L283" i="2"/>
  <c r="K283" i="2" a="1"/>
  <c r="J283" i="2"/>
  <c r="I283" i="2"/>
  <c r="L282" i="2"/>
  <c r="K282" i="2" a="1"/>
  <c r="J282" i="2"/>
  <c r="I282" i="2"/>
  <c r="L281" i="2"/>
  <c r="K281" i="2" a="1"/>
  <c r="J281" i="2"/>
  <c r="I281" i="2"/>
  <c r="L280" i="2"/>
  <c r="K280" i="2" a="1"/>
  <c r="J280" i="2"/>
  <c r="I280" i="2"/>
  <c r="L279" i="2"/>
  <c r="K279" i="2" a="1"/>
  <c r="J279" i="2"/>
  <c r="I279" i="2"/>
  <c r="L278" i="2"/>
  <c r="K278" i="2" a="1"/>
  <c r="J278" i="2"/>
  <c r="I278" i="2"/>
  <c r="L277" i="2"/>
  <c r="K277" i="2" a="1"/>
  <c r="J277" i="2"/>
  <c r="I277" i="2"/>
  <c r="L276" i="2"/>
  <c r="K276" i="2" a="1"/>
  <c r="J276" i="2"/>
  <c r="I276" i="2"/>
  <c r="L275" i="2"/>
  <c r="K275" i="2" a="1"/>
  <c r="J275" i="2"/>
  <c r="I275" i="2"/>
  <c r="L274" i="2"/>
  <c r="K274" i="2" a="1"/>
  <c r="J274" i="2"/>
  <c r="I274" i="2"/>
  <c r="L273" i="2"/>
  <c r="K273" i="2" a="1"/>
  <c r="J273" i="2"/>
  <c r="I273" i="2"/>
  <c r="L272" i="2"/>
  <c r="K272" i="2" a="1"/>
  <c r="J272" i="2"/>
  <c r="I272" i="2"/>
  <c r="L271" i="2"/>
  <c r="K271" i="2" a="1"/>
  <c r="J271" i="2"/>
  <c r="I271" i="2"/>
  <c r="L270" i="2"/>
  <c r="K270" i="2" a="1"/>
  <c r="J270" i="2"/>
  <c r="I270" i="2"/>
  <c r="L269" i="2"/>
  <c r="K269" i="2" a="1"/>
  <c r="J269" i="2"/>
  <c r="I269" i="2"/>
  <c r="L268" i="2"/>
  <c r="K268" i="2" a="1"/>
  <c r="J268" i="2"/>
  <c r="I268" i="2"/>
  <c r="L267" i="2"/>
  <c r="K267" i="2" a="1"/>
  <c r="J267" i="2"/>
  <c r="I267" i="2"/>
  <c r="L266" i="2"/>
  <c r="K266" i="2" a="1"/>
  <c r="J266" i="2"/>
  <c r="I266" i="2"/>
  <c r="L265" i="2"/>
  <c r="K265" i="2" a="1"/>
  <c r="J265" i="2"/>
  <c r="I265" i="2"/>
  <c r="L264" i="2"/>
  <c r="K264" i="2" a="1"/>
  <c r="J264" i="2"/>
  <c r="I264" i="2"/>
  <c r="L263" i="2"/>
  <c r="K263" i="2" a="1"/>
  <c r="J263" i="2"/>
  <c r="I263" i="2"/>
  <c r="L262" i="2"/>
  <c r="K262" i="2" a="1"/>
  <c r="J262" i="2"/>
  <c r="I262" i="2"/>
  <c r="L261" i="2"/>
  <c r="K261" i="2" a="1"/>
  <c r="J261" i="2"/>
  <c r="I261" i="2"/>
  <c r="L260" i="2"/>
  <c r="K260" i="2" a="1"/>
  <c r="J260" i="2"/>
  <c r="I260" i="2"/>
  <c r="L259" i="2"/>
  <c r="K259" i="2" a="1"/>
  <c r="J259" i="2"/>
  <c r="I259" i="2"/>
  <c r="L258" i="2"/>
  <c r="K258" i="2" a="1"/>
  <c r="J258" i="2"/>
  <c r="I258" i="2"/>
  <c r="L257" i="2"/>
  <c r="K257" i="2" a="1"/>
  <c r="J257" i="2"/>
  <c r="I257" i="2"/>
  <c r="L256" i="2"/>
  <c r="K256" i="2" a="1"/>
  <c r="J256" i="2"/>
  <c r="I256" i="2"/>
  <c r="L255" i="2"/>
  <c r="K255" i="2" a="1"/>
  <c r="J255" i="2"/>
  <c r="I255" i="2"/>
  <c r="L254" i="2"/>
  <c r="K254" i="2" a="1"/>
  <c r="J254" i="2"/>
  <c r="I254" i="2"/>
  <c r="L253" i="2"/>
  <c r="K253" i="2" a="1"/>
  <c r="J253" i="2"/>
  <c r="I253" i="2"/>
  <c r="L252" i="2"/>
  <c r="K252" i="2" a="1"/>
  <c r="J252" i="2"/>
  <c r="I252" i="2"/>
  <c r="L251" i="2"/>
  <c r="K251" i="2" a="1"/>
  <c r="J251" i="2"/>
  <c r="I251" i="2"/>
  <c r="L250" i="2"/>
  <c r="K250" i="2" a="1"/>
  <c r="J250" i="2"/>
  <c r="I250" i="2"/>
  <c r="L249" i="2"/>
  <c r="K249" i="2" a="1"/>
  <c r="J249" i="2"/>
  <c r="I249" i="2"/>
  <c r="L248" i="2"/>
  <c r="K248" i="2" a="1"/>
  <c r="J248" i="2"/>
  <c r="I248" i="2"/>
  <c r="L247" i="2"/>
  <c r="K247" i="2" a="1"/>
  <c r="J247" i="2"/>
  <c r="I247" i="2"/>
  <c r="L246" i="2"/>
  <c r="K246" i="2" a="1"/>
  <c r="J246" i="2"/>
  <c r="I246" i="2"/>
  <c r="L245" i="2"/>
  <c r="K245" i="2" a="1"/>
  <c r="J245" i="2"/>
  <c r="I245" i="2"/>
  <c r="L244" i="2"/>
  <c r="K244" i="2" a="1"/>
  <c r="J244" i="2"/>
  <c r="I244" i="2"/>
  <c r="L243" i="2"/>
  <c r="K243" i="2" a="1"/>
  <c r="J243" i="2"/>
  <c r="I243" i="2"/>
  <c r="L242" i="2"/>
  <c r="K242" i="2" a="1"/>
  <c r="J242" i="2"/>
  <c r="I242" i="2"/>
  <c r="L241" i="2"/>
  <c r="K241" i="2" a="1"/>
  <c r="J241" i="2"/>
  <c r="I241" i="2"/>
  <c r="L240" i="2"/>
  <c r="K240" i="2" a="1"/>
  <c r="J240" i="2"/>
  <c r="I240" i="2"/>
  <c r="L239" i="2"/>
  <c r="K239" i="2" a="1"/>
  <c r="J239" i="2"/>
  <c r="I239" i="2"/>
  <c r="L238" i="2"/>
  <c r="K238" i="2" a="1"/>
  <c r="J238" i="2"/>
  <c r="I238" i="2"/>
  <c r="L237" i="2"/>
  <c r="K237" i="2" a="1"/>
  <c r="J237" i="2"/>
  <c r="I237" i="2"/>
  <c r="L236" i="2"/>
  <c r="K236" i="2" a="1"/>
  <c r="J236" i="2"/>
  <c r="I236" i="2"/>
  <c r="L235" i="2"/>
  <c r="K235" i="2" a="1"/>
  <c r="J235" i="2"/>
  <c r="I235" i="2"/>
  <c r="L234" i="2"/>
  <c r="K234" i="2" a="1"/>
  <c r="J234" i="2"/>
  <c r="I234" i="2"/>
  <c r="L233" i="2"/>
  <c r="K233" i="2" a="1"/>
  <c r="J233" i="2"/>
  <c r="I233" i="2"/>
  <c r="L232" i="2"/>
  <c r="K232" i="2" a="1"/>
  <c r="J232" i="2"/>
  <c r="I232" i="2"/>
  <c r="L231" i="2"/>
  <c r="K231" i="2" a="1"/>
  <c r="J231" i="2"/>
  <c r="I231" i="2"/>
  <c r="L230" i="2"/>
  <c r="K230" i="2" a="1"/>
  <c r="J230" i="2"/>
  <c r="I230" i="2"/>
  <c r="L229" i="2"/>
  <c r="K229" i="2" a="1"/>
  <c r="J229" i="2"/>
  <c r="I229" i="2"/>
  <c r="L228" i="2"/>
  <c r="K228" i="2" a="1"/>
  <c r="J228" i="2"/>
  <c r="I228" i="2"/>
  <c r="L227" i="2"/>
  <c r="K227" i="2" a="1"/>
  <c r="J227" i="2"/>
  <c r="I227" i="2"/>
  <c r="L226" i="2"/>
  <c r="K226" i="2" a="1"/>
  <c r="J226" i="2"/>
  <c r="I226" i="2"/>
  <c r="L225" i="2"/>
  <c r="K225" i="2" a="1"/>
  <c r="J225" i="2"/>
  <c r="I225" i="2"/>
  <c r="L224" i="2"/>
  <c r="K224" i="2" a="1"/>
  <c r="J224" i="2"/>
  <c r="I224" i="2"/>
  <c r="L223" i="2"/>
  <c r="K223" i="2" a="1"/>
  <c r="J223" i="2"/>
  <c r="I223" i="2"/>
  <c r="L222" i="2"/>
  <c r="K222" i="2" a="1"/>
  <c r="J222" i="2"/>
  <c r="I222" i="2"/>
  <c r="L221" i="2"/>
  <c r="K221" i="2" a="1"/>
  <c r="J221" i="2"/>
  <c r="I221" i="2"/>
  <c r="L220" i="2"/>
  <c r="K220" i="2" a="1"/>
  <c r="J220" i="2"/>
  <c r="I220" i="2"/>
  <c r="L219" i="2"/>
  <c r="K219" i="2" a="1"/>
  <c r="J219" i="2"/>
  <c r="I219" i="2"/>
  <c r="L218" i="2"/>
  <c r="K218" i="2" a="1"/>
  <c r="J218" i="2"/>
  <c r="I218" i="2"/>
  <c r="L217" i="2"/>
  <c r="K217" i="2" a="1"/>
  <c r="J217" i="2"/>
  <c r="I217" i="2"/>
  <c r="L216" i="2"/>
  <c r="K216" i="2" a="1"/>
  <c r="J216" i="2"/>
  <c r="I216" i="2"/>
  <c r="L215" i="2"/>
  <c r="K215" i="2" a="1"/>
  <c r="J215" i="2"/>
  <c r="I215" i="2"/>
  <c r="L214" i="2"/>
  <c r="K214" i="2" a="1"/>
  <c r="J214" i="2"/>
  <c r="I214" i="2"/>
  <c r="L213" i="2"/>
  <c r="K213" i="2" a="1"/>
  <c r="J213" i="2"/>
  <c r="I213" i="2"/>
  <c r="L212" i="2"/>
  <c r="K212" i="2" a="1"/>
  <c r="J212" i="2"/>
  <c r="I212" i="2"/>
  <c r="L211" i="2"/>
  <c r="K211" i="2" a="1"/>
  <c r="J211" i="2"/>
  <c r="I211" i="2"/>
  <c r="L210" i="2"/>
  <c r="K210" i="2" a="1"/>
  <c r="J210" i="2"/>
  <c r="I210" i="2"/>
  <c r="L209" i="2"/>
  <c r="K209" i="2" a="1"/>
  <c r="J209" i="2"/>
  <c r="I209" i="2"/>
  <c r="L208" i="2"/>
  <c r="K208" i="2" a="1"/>
  <c r="J208" i="2"/>
  <c r="I208" i="2"/>
  <c r="L207" i="2"/>
  <c r="K207" i="2" a="1"/>
  <c r="J207" i="2"/>
  <c r="I207" i="2"/>
  <c r="L206" i="2"/>
  <c r="K206" i="2" a="1"/>
  <c r="J206" i="2"/>
  <c r="I206" i="2"/>
  <c r="L205" i="2"/>
  <c r="K205" i="2" a="1"/>
  <c r="J205" i="2"/>
  <c r="I205" i="2"/>
  <c r="L204" i="2"/>
  <c r="K204" i="2" a="1"/>
  <c r="J204" i="2"/>
  <c r="I204" i="2"/>
  <c r="L203" i="2"/>
  <c r="K203" i="2" a="1"/>
  <c r="J203" i="2"/>
  <c r="I203" i="2"/>
  <c r="L202" i="2"/>
  <c r="K202" i="2" a="1"/>
  <c r="J202" i="2"/>
  <c r="I202" i="2"/>
  <c r="L201" i="2"/>
  <c r="K201" i="2" a="1"/>
  <c r="J201" i="2"/>
  <c r="I201" i="2"/>
  <c r="L200" i="2"/>
  <c r="K200" i="2" a="1"/>
  <c r="J200" i="2"/>
  <c r="I200" i="2"/>
  <c r="L199" i="2"/>
  <c r="K199" i="2" a="1"/>
  <c r="J199" i="2"/>
  <c r="I199" i="2"/>
  <c r="L198" i="2"/>
  <c r="K198" i="2" a="1"/>
  <c r="J198" i="2"/>
  <c r="I198" i="2"/>
  <c r="L197" i="2"/>
  <c r="K197" i="2" a="1"/>
  <c r="J197" i="2"/>
  <c r="I197" i="2"/>
  <c r="L196" i="2"/>
  <c r="K196" i="2" a="1"/>
  <c r="J196" i="2"/>
  <c r="I196" i="2"/>
  <c r="L195" i="2"/>
  <c r="K195" i="2" a="1"/>
  <c r="J195" i="2"/>
  <c r="I195" i="2"/>
  <c r="L194" i="2"/>
  <c r="K194" i="2" a="1"/>
  <c r="J194" i="2"/>
  <c r="I194" i="2"/>
  <c r="L193" i="2"/>
  <c r="K193" i="2" a="1"/>
  <c r="J193" i="2"/>
  <c r="I193" i="2"/>
  <c r="L192" i="2"/>
  <c r="K192" i="2" a="1"/>
  <c r="J192" i="2"/>
  <c r="I192" i="2"/>
  <c r="L191" i="2"/>
  <c r="K191" i="2" a="1"/>
  <c r="J191" i="2"/>
  <c r="I191" i="2"/>
  <c r="L190" i="2"/>
  <c r="K190" i="2" a="1"/>
  <c r="J190" i="2"/>
  <c r="I190" i="2"/>
  <c r="L189" i="2"/>
  <c r="K189" i="2" a="1"/>
  <c r="J189" i="2"/>
  <c r="I189" i="2"/>
  <c r="L188" i="2"/>
  <c r="K188" i="2" a="1"/>
  <c r="J188" i="2"/>
  <c r="I188" i="2"/>
  <c r="L187" i="2"/>
  <c r="K187" i="2" a="1"/>
  <c r="J187" i="2"/>
  <c r="I187" i="2"/>
  <c r="L186" i="2"/>
  <c r="K186" i="2" a="1"/>
  <c r="J186" i="2"/>
  <c r="I186" i="2"/>
  <c r="L185" i="2"/>
  <c r="K185" i="2" a="1"/>
  <c r="J185" i="2"/>
  <c r="I185" i="2"/>
  <c r="L184" i="2"/>
  <c r="K184" i="2" a="1"/>
  <c r="J184" i="2"/>
  <c r="I184" i="2"/>
  <c r="L183" i="2"/>
  <c r="K183" i="2" a="1"/>
  <c r="J183" i="2"/>
  <c r="I183" i="2"/>
  <c r="L182" i="2"/>
  <c r="K182" i="2" a="1"/>
  <c r="J182" i="2"/>
  <c r="I182" i="2"/>
  <c r="L181" i="2"/>
  <c r="K181" i="2" a="1"/>
  <c r="J181" i="2"/>
  <c r="I181" i="2"/>
  <c r="L180" i="2"/>
  <c r="K180" i="2" a="1"/>
  <c r="J180" i="2"/>
  <c r="I180" i="2"/>
  <c r="L179" i="2"/>
  <c r="K179" i="2" a="1"/>
  <c r="J179" i="2"/>
  <c r="I179" i="2"/>
  <c r="L178" i="2"/>
  <c r="K178" i="2" a="1"/>
  <c r="J178" i="2"/>
  <c r="I178" i="2"/>
  <c r="L177" i="2"/>
  <c r="K177" i="2" a="1"/>
  <c r="J177" i="2"/>
  <c r="I177" i="2"/>
  <c r="L176" i="2"/>
  <c r="K176" i="2" a="1"/>
  <c r="J176" i="2"/>
  <c r="I176" i="2"/>
  <c r="L175" i="2"/>
  <c r="K175" i="2" a="1"/>
  <c r="J175" i="2"/>
  <c r="I175" i="2"/>
  <c r="L174" i="2"/>
  <c r="K174" i="2" a="1"/>
  <c r="J174" i="2"/>
  <c r="I174" i="2"/>
  <c r="L173" i="2"/>
  <c r="K173" i="2" a="1"/>
  <c r="J173" i="2"/>
  <c r="I173" i="2"/>
  <c r="L172" i="2"/>
  <c r="K172" i="2" a="1"/>
  <c r="J172" i="2"/>
  <c r="I172" i="2"/>
  <c r="L171" i="2"/>
  <c r="K171" i="2" a="1"/>
  <c r="J171" i="2"/>
  <c r="I171" i="2"/>
  <c r="L170" i="2"/>
  <c r="K170" i="2" a="1"/>
  <c r="J170" i="2"/>
  <c r="I170" i="2"/>
  <c r="L169" i="2"/>
  <c r="K169" i="2" a="1"/>
  <c r="J169" i="2"/>
  <c r="I169" i="2"/>
  <c r="L168" i="2"/>
  <c r="K168" i="2" a="1"/>
  <c r="J168" i="2"/>
  <c r="I168" i="2"/>
  <c r="L167" i="2"/>
  <c r="K167" i="2" a="1"/>
  <c r="J167" i="2"/>
  <c r="I167" i="2"/>
  <c r="L166" i="2"/>
  <c r="K166" i="2" a="1"/>
  <c r="J166" i="2"/>
  <c r="I166" i="2"/>
  <c r="L165" i="2"/>
  <c r="K165" i="2" a="1"/>
  <c r="J165" i="2"/>
  <c r="I165" i="2"/>
  <c r="L164" i="2"/>
  <c r="K164" i="2" a="1"/>
  <c r="J164" i="2"/>
  <c r="I164" i="2"/>
  <c r="L163" i="2"/>
  <c r="K163" i="2" a="1"/>
  <c r="J163" i="2"/>
  <c r="I163" i="2"/>
  <c r="L162" i="2"/>
  <c r="K162" i="2" a="1"/>
  <c r="J162" i="2"/>
  <c r="I162" i="2"/>
  <c r="L161" i="2"/>
  <c r="K161" i="2" a="1"/>
  <c r="J161" i="2"/>
  <c r="I161" i="2"/>
  <c r="L160" i="2"/>
  <c r="K160" i="2" a="1"/>
  <c r="J160" i="2"/>
  <c r="I160" i="2"/>
  <c r="L159" i="2"/>
  <c r="K159" i="2" a="1"/>
  <c r="J159" i="2"/>
  <c r="I159" i="2"/>
  <c r="L158" i="2"/>
  <c r="K158" i="2" a="1"/>
  <c r="J158" i="2"/>
  <c r="I158" i="2"/>
  <c r="L157" i="2"/>
  <c r="K157" i="2" a="1"/>
  <c r="J157" i="2"/>
  <c r="I157" i="2"/>
  <c r="L156" i="2"/>
  <c r="K156" i="2" a="1"/>
  <c r="J156" i="2"/>
  <c r="I156" i="2"/>
  <c r="L155" i="2"/>
  <c r="K155" i="2" a="1"/>
  <c r="J155" i="2"/>
  <c r="I155" i="2"/>
  <c r="L154" i="2"/>
  <c r="K154" i="2" a="1"/>
  <c r="J154" i="2"/>
  <c r="I154" i="2"/>
  <c r="L153" i="2"/>
  <c r="K153" i="2" a="1"/>
  <c r="J153" i="2"/>
  <c r="I153" i="2"/>
  <c r="L152" i="2"/>
  <c r="K152" i="2" a="1"/>
  <c r="J152" i="2"/>
  <c r="I152" i="2"/>
  <c r="L151" i="2"/>
  <c r="K151" i="2" a="1"/>
  <c r="J151" i="2"/>
  <c r="I151" i="2"/>
  <c r="L150" i="2"/>
  <c r="K150" i="2" a="1"/>
  <c r="J150" i="2"/>
  <c r="I150" i="2"/>
  <c r="L149" i="2"/>
  <c r="K149" i="2" a="1"/>
  <c r="J149" i="2"/>
  <c r="I149" i="2"/>
  <c r="L148" i="2"/>
  <c r="K148" i="2" a="1"/>
  <c r="J148" i="2"/>
  <c r="I148" i="2"/>
  <c r="L147" i="2"/>
  <c r="K147" i="2" a="1"/>
  <c r="J147" i="2"/>
  <c r="I147" i="2"/>
  <c r="L146" i="2"/>
  <c r="K146" i="2" a="1"/>
  <c r="J146" i="2"/>
  <c r="I146" i="2"/>
  <c r="L145" i="2"/>
  <c r="K145" i="2" a="1"/>
  <c r="J145" i="2"/>
  <c r="I145" i="2"/>
  <c r="L144" i="2"/>
  <c r="K144" i="2" a="1"/>
  <c r="J144" i="2"/>
  <c r="I144" i="2"/>
  <c r="L143" i="2"/>
  <c r="K143" i="2" a="1"/>
  <c r="J143" i="2"/>
  <c r="I143" i="2"/>
  <c r="L142" i="2"/>
  <c r="K142" i="2" a="1"/>
  <c r="J142" i="2"/>
  <c r="I142" i="2"/>
  <c r="L141" i="2"/>
  <c r="K141" i="2" a="1"/>
  <c r="J141" i="2"/>
  <c r="I141" i="2"/>
  <c r="L140" i="2"/>
  <c r="K140" i="2" a="1"/>
  <c r="J140" i="2"/>
  <c r="I140" i="2"/>
  <c r="L139" i="2"/>
  <c r="K139" i="2" a="1"/>
  <c r="J139" i="2"/>
  <c r="I139" i="2"/>
  <c r="L138" i="2"/>
  <c r="K138" i="2" a="1"/>
  <c r="J138" i="2"/>
  <c r="I138" i="2"/>
  <c r="L137" i="2"/>
  <c r="K137" i="2" a="1"/>
  <c r="J137" i="2"/>
  <c r="I137" i="2"/>
  <c r="L136" i="2"/>
  <c r="K136" i="2" a="1"/>
  <c r="J136" i="2"/>
  <c r="I136" i="2"/>
  <c r="L135" i="2"/>
  <c r="K135" i="2" a="1"/>
  <c r="J135" i="2"/>
  <c r="I135" i="2"/>
  <c r="L134" i="2"/>
  <c r="K134" i="2" a="1"/>
  <c r="J134" i="2"/>
  <c r="I134" i="2"/>
  <c r="L133" i="2"/>
  <c r="K133" i="2" a="1"/>
  <c r="J133" i="2"/>
  <c r="I133" i="2"/>
  <c r="L132" i="2"/>
  <c r="K132" i="2" a="1"/>
  <c r="J132" i="2"/>
  <c r="I132" i="2"/>
  <c r="L131" i="2"/>
  <c r="K131" i="2" a="1"/>
  <c r="J131" i="2"/>
  <c r="I131" i="2"/>
  <c r="L130" i="2"/>
  <c r="K130" i="2" a="1"/>
  <c r="J130" i="2"/>
  <c r="I130" i="2"/>
  <c r="L129" i="2"/>
  <c r="K129" i="2" a="1"/>
  <c r="J129" i="2"/>
  <c r="I129" i="2"/>
  <c r="L128" i="2"/>
  <c r="K128" i="2" a="1"/>
  <c r="J128" i="2"/>
  <c r="I128" i="2"/>
  <c r="L127" i="2"/>
  <c r="K127" i="2" a="1"/>
  <c r="J127" i="2"/>
  <c r="I127" i="2"/>
  <c r="L126" i="2"/>
  <c r="K126" i="2" a="1"/>
  <c r="J126" i="2"/>
  <c r="I126" i="2"/>
  <c r="L125" i="2"/>
  <c r="K125" i="2" a="1"/>
  <c r="J125" i="2"/>
  <c r="I125" i="2"/>
  <c r="L124" i="2"/>
  <c r="K124" i="2" a="1"/>
  <c r="J124" i="2"/>
  <c r="I124" i="2"/>
  <c r="L123" i="2"/>
  <c r="K123" i="2" a="1"/>
  <c r="J123" i="2"/>
  <c r="I123" i="2"/>
  <c r="L122" i="2"/>
  <c r="K122" i="2" a="1"/>
  <c r="J122" i="2"/>
  <c r="I122" i="2"/>
  <c r="L121" i="2"/>
  <c r="K121" i="2" a="1"/>
  <c r="J121" i="2"/>
  <c r="I121" i="2"/>
  <c r="L120" i="2"/>
  <c r="K120" i="2" a="1"/>
  <c r="J120" i="2"/>
  <c r="I120" i="2"/>
  <c r="L119" i="2"/>
  <c r="K119" i="2" a="1"/>
  <c r="J119" i="2"/>
  <c r="I119" i="2"/>
  <c r="L118" i="2"/>
  <c r="K118" i="2" a="1"/>
  <c r="J118" i="2"/>
  <c r="I118" i="2"/>
  <c r="L117" i="2"/>
  <c r="K117" i="2" a="1"/>
  <c r="J117" i="2"/>
  <c r="I117" i="2"/>
  <c r="L116" i="2"/>
  <c r="K116" i="2" a="1"/>
  <c r="J116" i="2"/>
  <c r="I116" i="2"/>
  <c r="L115" i="2"/>
  <c r="K115" i="2" a="1"/>
  <c r="J115" i="2"/>
  <c r="I115" i="2"/>
  <c r="L114" i="2"/>
  <c r="K114" i="2" a="1"/>
  <c r="J114" i="2"/>
  <c r="I114" i="2"/>
  <c r="L113" i="2"/>
  <c r="K113" i="2" a="1"/>
  <c r="J113" i="2"/>
  <c r="I113" i="2"/>
  <c r="L112" i="2"/>
  <c r="K112" i="2" a="1"/>
  <c r="J112" i="2"/>
  <c r="I112" i="2"/>
  <c r="L111" i="2"/>
  <c r="K111" i="2" a="1"/>
  <c r="J111" i="2"/>
  <c r="I111" i="2"/>
  <c r="L110" i="2"/>
  <c r="K110" i="2" a="1"/>
  <c r="J110" i="2"/>
  <c r="I110" i="2"/>
  <c r="L109" i="2"/>
  <c r="K109" i="2" a="1"/>
  <c r="J109" i="2"/>
  <c r="I109" i="2"/>
  <c r="L108" i="2"/>
  <c r="K108" i="2" a="1"/>
  <c r="J108" i="2"/>
  <c r="I108" i="2"/>
  <c r="L107" i="2"/>
  <c r="K107" i="2" a="1"/>
  <c r="J107" i="2"/>
  <c r="I107" i="2"/>
  <c r="L106" i="2"/>
  <c r="K106" i="2" a="1"/>
  <c r="J106" i="2"/>
  <c r="I106" i="2"/>
  <c r="L105" i="2"/>
  <c r="K105" i="2" a="1"/>
  <c r="J105" i="2"/>
  <c r="I105" i="2"/>
  <c r="L104" i="2"/>
  <c r="K104" i="2" a="1"/>
  <c r="J104" i="2"/>
  <c r="I104" i="2"/>
  <c r="L103" i="2"/>
  <c r="K103" i="2" a="1"/>
  <c r="J103" i="2"/>
  <c r="I103" i="2"/>
  <c r="L102" i="2"/>
  <c r="K102" i="2" a="1"/>
  <c r="J102" i="2"/>
  <c r="I102" i="2"/>
  <c r="L101" i="2"/>
  <c r="K101" i="2" a="1"/>
  <c r="J101" i="2"/>
  <c r="I101" i="2"/>
  <c r="L100" i="2"/>
  <c r="K100" i="2" a="1"/>
  <c r="J100" i="2"/>
  <c r="I100" i="2"/>
  <c r="L99" i="2"/>
  <c r="K99" i="2" a="1"/>
  <c r="J99" i="2"/>
  <c r="I99" i="2"/>
  <c r="L98" i="2"/>
  <c r="K98" i="2" a="1"/>
  <c r="J98" i="2"/>
  <c r="I98" i="2"/>
  <c r="L97" i="2"/>
  <c r="K97" i="2" a="1"/>
  <c r="J97" i="2"/>
  <c r="I97" i="2"/>
  <c r="L96" i="2"/>
  <c r="K96" i="2" a="1"/>
  <c r="J96" i="2"/>
  <c r="I96" i="2"/>
  <c r="L95" i="2"/>
  <c r="K95" i="2" a="1"/>
  <c r="J95" i="2"/>
  <c r="I95" i="2"/>
  <c r="L94" i="2"/>
  <c r="K94" i="2" a="1"/>
  <c r="J94" i="2"/>
  <c r="I94" i="2"/>
  <c r="L93" i="2"/>
  <c r="K93" i="2" a="1"/>
  <c r="J93" i="2"/>
  <c r="I93" i="2"/>
  <c r="L92" i="2"/>
  <c r="K92" i="2" a="1"/>
  <c r="J92" i="2"/>
  <c r="I92" i="2"/>
  <c r="L91" i="2"/>
  <c r="K91" i="2" a="1"/>
  <c r="J91" i="2"/>
  <c r="I91" i="2"/>
  <c r="L90" i="2"/>
  <c r="K90" i="2" a="1"/>
  <c r="J90" i="2"/>
  <c r="I90" i="2"/>
  <c r="L89" i="2"/>
  <c r="K89" i="2" a="1"/>
  <c r="J89" i="2"/>
  <c r="I89" i="2"/>
  <c r="L88" i="2"/>
  <c r="K88" i="2" a="1"/>
  <c r="J88" i="2"/>
  <c r="I88" i="2"/>
  <c r="L87" i="2"/>
  <c r="K87" i="2" a="1"/>
  <c r="J87" i="2"/>
  <c r="I87" i="2"/>
  <c r="L86" i="2"/>
  <c r="K86" i="2" a="1"/>
  <c r="J86" i="2"/>
  <c r="I86" i="2"/>
  <c r="L85" i="2"/>
  <c r="K85" i="2" a="1"/>
  <c r="J85" i="2"/>
  <c r="I85" i="2"/>
  <c r="L84" i="2"/>
  <c r="K84" i="2" a="1"/>
  <c r="J84" i="2"/>
  <c r="I84" i="2"/>
  <c r="L83" i="2"/>
  <c r="K83" i="2" a="1"/>
  <c r="J83" i="2"/>
  <c r="I83" i="2"/>
  <c r="L82" i="2"/>
  <c r="K82" i="2" a="1"/>
  <c r="J82" i="2"/>
  <c r="I82" i="2"/>
  <c r="L81" i="2"/>
  <c r="K81" i="2" a="1"/>
  <c r="J81" i="2"/>
  <c r="I81" i="2"/>
  <c r="L80" i="2"/>
  <c r="K80" i="2" a="1"/>
  <c r="J80" i="2"/>
  <c r="I80" i="2"/>
  <c r="L79" i="2"/>
  <c r="K79" i="2" a="1"/>
  <c r="J79" i="2"/>
  <c r="I79" i="2"/>
  <c r="L78" i="2"/>
  <c r="K78" i="2" a="1"/>
  <c r="J78" i="2"/>
  <c r="I78" i="2"/>
  <c r="L77" i="2"/>
  <c r="K77" i="2" a="1"/>
  <c r="J77" i="2"/>
  <c r="I77" i="2"/>
  <c r="L76" i="2"/>
  <c r="K76" i="2" a="1"/>
  <c r="J76" i="2"/>
  <c r="I76" i="2"/>
  <c r="L75" i="2"/>
  <c r="K75" i="2" a="1"/>
  <c r="J75" i="2"/>
  <c r="I75" i="2"/>
  <c r="L74" i="2"/>
  <c r="K74" i="2" a="1"/>
  <c r="J74" i="2"/>
  <c r="I74" i="2"/>
  <c r="L73" i="2"/>
  <c r="K73" i="2" a="1"/>
  <c r="J73" i="2"/>
  <c r="I73" i="2"/>
  <c r="L72" i="2"/>
  <c r="K72" i="2" a="1"/>
  <c r="J72" i="2"/>
  <c r="I72" i="2"/>
  <c r="L71" i="2"/>
  <c r="K71" i="2" a="1"/>
  <c r="J71" i="2"/>
  <c r="I71" i="2"/>
  <c r="L70" i="2"/>
  <c r="K70" i="2" a="1"/>
  <c r="J70" i="2"/>
  <c r="I70" i="2"/>
  <c r="L69" i="2"/>
  <c r="K69" i="2" a="1"/>
  <c r="J69" i="2"/>
  <c r="I69" i="2"/>
  <c r="L68" i="2"/>
  <c r="K68" i="2" a="1"/>
  <c r="J68" i="2"/>
  <c r="I68" i="2"/>
  <c r="L67" i="2"/>
  <c r="K67" i="2" a="1"/>
  <c r="J67" i="2"/>
  <c r="I67" i="2"/>
  <c r="L66" i="2"/>
  <c r="K66" i="2" a="1"/>
  <c r="J66" i="2"/>
  <c r="I66" i="2"/>
  <c r="L65" i="2"/>
  <c r="K65" i="2" a="1"/>
  <c r="J65" i="2"/>
  <c r="I65" i="2"/>
  <c r="L64" i="2"/>
  <c r="K64" i="2" a="1"/>
  <c r="J64" i="2"/>
  <c r="I64" i="2"/>
  <c r="L63" i="2"/>
  <c r="K63" i="2" a="1"/>
  <c r="J63" i="2"/>
  <c r="I63" i="2"/>
  <c r="L62" i="2"/>
  <c r="K62" i="2" a="1"/>
  <c r="J62" i="2"/>
  <c r="I62" i="2"/>
  <c r="L61" i="2"/>
  <c r="K61" i="2" a="1"/>
  <c r="J61" i="2"/>
  <c r="I61" i="2"/>
  <c r="L60" i="2"/>
  <c r="K60" i="2" a="1"/>
  <c r="J60" i="2"/>
  <c r="I60" i="2"/>
  <c r="L59" i="2"/>
  <c r="K59" i="2" a="1"/>
  <c r="J59" i="2"/>
  <c r="I59" i="2"/>
  <c r="L58" i="2"/>
  <c r="K58" i="2" a="1"/>
  <c r="J58" i="2"/>
  <c r="I58" i="2"/>
  <c r="L57" i="2"/>
  <c r="K57" i="2" a="1"/>
  <c r="J57" i="2"/>
  <c r="I57" i="2"/>
  <c r="L56" i="2"/>
  <c r="K56" i="2" a="1"/>
  <c r="J56" i="2"/>
  <c r="I56" i="2"/>
  <c r="L55" i="2"/>
  <c r="K55" i="2" a="1"/>
  <c r="J55" i="2"/>
  <c r="I55" i="2"/>
  <c r="L54" i="2"/>
  <c r="K54" i="2" a="1"/>
  <c r="J54" i="2"/>
  <c r="I54" i="2"/>
  <c r="L53" i="2"/>
  <c r="K53" i="2" a="1"/>
  <c r="J53" i="2"/>
  <c r="I53" i="2"/>
  <c r="L52" i="2"/>
  <c r="K52" i="2" a="1"/>
  <c r="J52" i="2"/>
  <c r="I52" i="2"/>
  <c r="L51" i="2"/>
  <c r="K51" i="2" a="1"/>
  <c r="J51" i="2"/>
  <c r="I51" i="2"/>
  <c r="L50" i="2"/>
  <c r="K50" i="2" a="1"/>
  <c r="J50" i="2"/>
  <c r="I50" i="2"/>
  <c r="L49" i="2"/>
  <c r="K49" i="2" a="1"/>
  <c r="J49" i="2"/>
  <c r="I49" i="2"/>
  <c r="L48" i="2"/>
  <c r="K48" i="2" a="1"/>
  <c r="J48" i="2"/>
  <c r="I48" i="2"/>
  <c r="L47" i="2"/>
  <c r="K47" i="2" a="1"/>
  <c r="J47" i="2"/>
  <c r="I47" i="2"/>
  <c r="L46" i="2"/>
  <c r="K46" i="2" a="1"/>
  <c r="J46" i="2"/>
  <c r="I46" i="2"/>
  <c r="L45" i="2"/>
  <c r="K45" i="2" a="1"/>
  <c r="J45" i="2"/>
  <c r="I45" i="2"/>
  <c r="L44" i="2"/>
  <c r="K44" i="2" a="1"/>
  <c r="J44" i="2"/>
  <c r="I44" i="2"/>
  <c r="L43" i="2"/>
  <c r="K43" i="2" a="1"/>
  <c r="J43" i="2"/>
  <c r="I43" i="2"/>
  <c r="L42" i="2"/>
  <c r="K42" i="2" a="1"/>
  <c r="J42" i="2"/>
  <c r="I42" i="2"/>
  <c r="L41" i="2"/>
  <c r="K41" i="2" a="1"/>
  <c r="J41" i="2"/>
  <c r="I41" i="2"/>
  <c r="L40" i="2"/>
  <c r="K40" i="2" a="1"/>
  <c r="J40" i="2"/>
  <c r="I40" i="2"/>
  <c r="L39" i="2"/>
  <c r="K39" i="2" a="1"/>
  <c r="J39" i="2"/>
  <c r="I39" i="2"/>
  <c r="L38" i="2"/>
  <c r="K38" i="2" a="1"/>
  <c r="J38" i="2"/>
  <c r="I38" i="2"/>
  <c r="L37" i="2"/>
  <c r="K37" i="2" a="1"/>
  <c r="J37" i="2"/>
  <c r="I37" i="2"/>
  <c r="L36" i="2"/>
  <c r="K36" i="2" a="1"/>
  <c r="J36" i="2"/>
  <c r="I36" i="2"/>
  <c r="L35" i="2"/>
  <c r="K35" i="2" a="1"/>
  <c r="J35" i="2"/>
  <c r="I35" i="2"/>
  <c r="L34" i="2"/>
  <c r="K34" i="2" a="1"/>
  <c r="J34" i="2"/>
  <c r="I34" i="2"/>
  <c r="L33" i="2"/>
  <c r="K33" i="2" a="1"/>
  <c r="J33" i="2"/>
  <c r="I33" i="2"/>
  <c r="L32" i="2"/>
  <c r="K32" i="2" a="1"/>
  <c r="J32" i="2"/>
  <c r="I32" i="2"/>
  <c r="L31" i="2"/>
  <c r="K31" i="2" a="1"/>
  <c r="J31" i="2"/>
  <c r="I31" i="2"/>
  <c r="L30" i="2"/>
  <c r="K30" i="2" a="1"/>
  <c r="J30" i="2"/>
  <c r="I30" i="2"/>
  <c r="L29" i="2"/>
  <c r="K29" i="2" a="1"/>
  <c r="J29" i="2"/>
  <c r="I29" i="2"/>
  <c r="L28" i="2"/>
  <c r="K28" i="2" a="1"/>
  <c r="J28" i="2"/>
  <c r="I28" i="2"/>
  <c r="L27" i="2"/>
  <c r="K27" i="2" a="1"/>
  <c r="J27" i="2"/>
  <c r="I27" i="2"/>
  <c r="L26" i="2"/>
  <c r="K26" i="2" a="1"/>
  <c r="J26" i="2"/>
  <c r="I26" i="2"/>
  <c r="L25" i="2"/>
  <c r="K25" i="2" a="1"/>
  <c r="J25" i="2"/>
  <c r="I25" i="2"/>
  <c r="L24" i="2"/>
  <c r="K24" i="2" a="1"/>
  <c r="J24" i="2"/>
  <c r="I24" i="2"/>
  <c r="L23" i="2"/>
  <c r="K23" i="2" a="1"/>
  <c r="J23" i="2"/>
  <c r="I23" i="2"/>
  <c r="L22" i="2"/>
  <c r="K22" i="2" a="1"/>
  <c r="J22" i="2"/>
  <c r="I22" i="2"/>
  <c r="L21" i="2"/>
  <c r="K21" i="2" a="1"/>
  <c r="J21" i="2"/>
  <c r="I21" i="2"/>
  <c r="L20" i="2"/>
  <c r="K20" i="2" a="1"/>
  <c r="J20" i="2"/>
  <c r="I20" i="2"/>
  <c r="L19" i="2"/>
  <c r="K19" i="2" a="1"/>
  <c r="J19" i="2"/>
  <c r="I19" i="2"/>
  <c r="L18" i="2"/>
  <c r="K18" i="2" a="1"/>
  <c r="J18" i="2"/>
  <c r="I18" i="2"/>
  <c r="L17" i="2"/>
  <c r="K17" i="2" a="1"/>
  <c r="J17" i="2"/>
  <c r="I17" i="2"/>
  <c r="L16" i="2"/>
  <c r="K16" i="2" a="1"/>
  <c r="J16" i="2"/>
  <c r="I16" i="2"/>
  <c r="L15" i="2"/>
  <c r="K15" i="2" a="1"/>
  <c r="J15" i="2"/>
  <c r="I15" i="2"/>
  <c r="L14" i="2"/>
  <c r="K14" i="2" a="1"/>
  <c r="J14" i="2"/>
  <c r="I14" i="2"/>
  <c r="L13" i="2"/>
  <c r="K13" i="2" a="1"/>
  <c r="J13" i="2"/>
  <c r="I13" i="2"/>
  <c r="L12" i="2"/>
  <c r="K12" i="2" a="1"/>
  <c r="J12" i="2"/>
  <c r="I12" i="2"/>
  <c r="L11" i="2"/>
  <c r="K11" i="2" a="1"/>
  <c r="J11" i="2"/>
  <c r="I11" i="2"/>
  <c r="L10" i="2"/>
  <c r="K10" i="2" a="1"/>
  <c r="J10" i="2"/>
  <c r="I10" i="2"/>
  <c r="L9" i="2"/>
  <c r="K9" i="2" a="1"/>
  <c r="J9" i="2"/>
  <c r="I9" i="2"/>
  <c r="L8" i="2"/>
  <c r="K8" i="2" a="1"/>
  <c r="J8" i="2"/>
  <c r="I8" i="2"/>
  <c r="L7" i="2"/>
  <c r="K7" i="2" a="1"/>
  <c r="J7" i="2"/>
  <c r="I7" i="2"/>
  <c r="L6" i="2"/>
  <c r="K6" i="2" a="1"/>
  <c r="J6" i="2"/>
  <c r="I6" i="2"/>
  <c r="L5" i="2"/>
  <c r="K5" i="2" a="1"/>
  <c r="J5" i="2"/>
  <c r="I5" i="2"/>
  <c r="L4" i="2"/>
  <c r="K4" i="2" a="1"/>
  <c r="J4" i="2"/>
  <c r="I4" i="2"/>
  <c r="G116" i="9"/>
  <c r="G106" i="9"/>
  <c r="G110" i="9" s="1"/>
  <c r="G115" i="9" s="1"/>
  <c r="L37" i="5" s="1"/>
  <c r="G105" i="9"/>
  <c r="G109" i="9" s="1"/>
  <c r="G114" i="9" s="1"/>
  <c r="L36" i="5" s="1"/>
  <c r="G104" i="9"/>
  <c r="G113" i="9" s="1"/>
  <c r="L35" i="5" s="1"/>
  <c r="M40" i="9"/>
  <c r="G40" i="9" a="1"/>
  <c r="K31" i="5" l="1"/>
  <c r="L28" i="5"/>
  <c r="M45" i="9"/>
  <c r="M44" i="9"/>
  <c r="I44" i="9"/>
  <c r="M43" i="9"/>
  <c r="I43" i="9"/>
  <c r="M42" i="9"/>
  <c r="I42" i="9"/>
  <c r="I41" i="9"/>
  <c r="M46" i="9"/>
  <c r="I40"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C1F7F2-BAF2-4F03-8552-66A06D338DD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F0EB85B-4767-45EA-8920-ECCF0C198784}"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
        </x15:connection>
      </ext>
    </extLst>
  </connection>
  <connection id="3" xr16:uid="{67DA0EFF-A7C6-495F-87F0-40FC5276F085}"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<sst xmlns="http://schemas.openxmlformats.org/spreadsheetml/2006/main" count="3197" uniqueCount="1081">
  <si>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</si>
  <si>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</si>
  <si>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</si>
  <si>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</si>
  <si>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</si>
  <si>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</si>
  <si>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</si>
  <si>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</si>
  <si>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</si>
  <si>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</si>
  <si>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</si>
  <si>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</si>
  <si>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</si>
  <si>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</si>
  <si>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</si>
  <si>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</si>
  <si>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</si>
  <si>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</si>
  <si>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</si>
  <si>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</si>
  <si>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</si>
  <si>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</si>
  <si>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</si>
  <si>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</si>
  <si>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</si>
  <si>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</si>
  <si>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</si>
  <si>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</si>
  <si>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</si>
  <si>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</si>
  <si>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</si>
  <si>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</si>
  <si>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</si>
  <si>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</si>
  <si>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</si>
  <si>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</si>
  <si>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</si>
  <si>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</si>
  <si>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</si>
  <si>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</si>
  <si>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</si>
  <si>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</si>
  <si>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</si>
  <si>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</si>
  <si>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</si>
  <si>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</si>
  <si>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</si>
  <si>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</si>
  <si>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</si>
  <si>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</si>
  <si>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</si>
  <si>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</si>
  <si>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</si>
  <si>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</si>
  <si>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</si>
  <si>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</si>
  <si>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</si>
  <si>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</si>
  <si>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</si>
  <si>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</si>
  <si>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</si>
  <si>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</si>
  <si>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</si>
  <si>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</si>
  <si>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</si>
  <si>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</si>
  <si>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</si>
  <si>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</si>
  <si>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</si>
  <si>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</si>
  <si>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</si>
  <si>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</si>
  <si>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</si>
  <si>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</si>
  <si>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</si>
  <si>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</si>
  <si>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</si>
  <si>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</si>
  <si>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</si>
  <si>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</si>
  <si>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</si>
  <si>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</si>
  <si>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</si>
  <si>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</si>
  <si>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</si>
  <si>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</si>
  <si>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</si>
  <si>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</si>
  <si>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</si>
  <si>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</si>
  <si>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</si>
  <si>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</si>
  <si>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</si>
  <si>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</si>
  <si>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</si>
  <si>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</si>
  <si>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</si>
  <si>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</si>
  <si>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</si>
  <si>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</si>
  <si>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</si>
  <si>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</si>
  <si>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</si>
  <si>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</si>
  <si>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</si>
  <si>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</si>
  <si>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</si>
  <si>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</si>
  <si>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</si>
  <si>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</si>
  <si>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</si>
  <si>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</si>
  <si>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</si>
  <si>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</si>
  <si>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</si>
  <si>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</si>
  <si>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</si>
  <si>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</si>
  <si>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</si>
  <si>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</si>
  <si>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</si>
  <si>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</si>
  <si>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</si>
  <si>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</si>
  <si>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</si>
  <si>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</si>
  <si>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</si>
  <si>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</si>
  <si>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</si>
  <si>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</si>
  <si>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</si>
  <si>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</si>
  <si>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</si>
  <si>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</si>
  <si>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</si>
  <si>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</si>
  <si>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</si>
  <si>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</si>
  <si>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</si>
  <si>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</si>
  <si>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</si>
  <si>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</si>
  <si>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</si>
  <si>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</si>
  <si>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</si>
  <si>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</si>
  <si>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</si>
  <si>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</si>
  <si>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</si>
  <si>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</si>
  <si>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</si>
  <si>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</si>
  <si>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</si>
  <si>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</si>
  <si>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</si>
  <si>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</si>
  <si>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</si>
  <si>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</si>
  <si>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</si>
  <si>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</si>
  <si>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</si>
  <si>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</si>
  <si>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</si>
  <si>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</si>
  <si>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</si>
  <si>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</si>
  <si>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</si>
  <si>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</si>
  <si>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</si>
  <si>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</si>
  <si>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</si>
  <si>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</si>
  <si>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</si>
  <si>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</si>
  <si>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</si>
  <si>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</si>
  <si>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</si>
  <si>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</si>
  <si>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</si>
  <si>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</si>
  <si>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</si>
  <si>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</si>
  <si>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</si>
  <si>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</si>
  <si>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</si>
  <si>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</si>
  <si>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</si>
  <si>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</si>
  <si>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</si>
  <si>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</si>
  <si>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</si>
  <si>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</si>
  <si>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</si>
  <si>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</si>
  <si>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</si>
  <si>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</si>
  <si>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</si>
  <si>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</si>
  <si>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</si>
  <si>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</si>
  <si>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</si>
  <si>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</si>
  <si>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</si>
  <si>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</si>
  <si>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</si>
  <si>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</si>
  <si>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</si>
  <si>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</si>
  <si>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</si>
  <si>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</si>
  <si>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</si>
  <si>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</si>
  <si>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</si>
  <si>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</si>
  <si>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</si>
  <si>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</si>
  <si>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</si>
  <si>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</si>
  <si>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</si>
  <si>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</si>
  <si>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</si>
  <si>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</si>
  <si>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</si>
  <si>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</si>
  <si>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</si>
  <si>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</si>
  <si>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</si>
  <si>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</si>
  <si>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</si>
  <si>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</si>
  <si>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</si>
  <si>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</si>
  <si>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</si>
  <si>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</si>
  <si>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</si>
  <si>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</si>
  <si>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</si>
  <si>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</si>
  <si>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</si>
  <si>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</si>
  <si>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</si>
  <si>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</si>
  <si>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</si>
  <si>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</si>
  <si>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</si>
  <si>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</si>
  <si>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</si>
  <si>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</si>
  <si>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</si>
  <si>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</si>
  <si>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</si>
  <si>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</si>
  <si>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</si>
  <si>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</si>
  <si>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</si>
  <si>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</si>
  <si>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</si>
  <si>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</si>
  <si>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</si>
  <si>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</si>
  <si>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</si>
  <si>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</si>
  <si>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</si>
  <si>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</si>
  <si>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</si>
  <si>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</si>
  <si>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</si>
  <si>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</si>
  <si>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</si>
  <si>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</si>
  <si>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</si>
  <si>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</si>
  <si>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</si>
  <si>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</si>
  <si>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</si>
  <si>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</si>
  <si>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</si>
  <si>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</si>
  <si>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</si>
  <si>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</si>
  <si>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</si>
  <si>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</si>
  <si>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</si>
  <si>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</si>
  <si>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</si>
  <si>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</si>
  <si>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</si>
  <si>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</si>
  <si>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</si>
  <si>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</si>
  <si>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</si>
  <si>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</si>
  <si>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</si>
  <si>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</si>
  <si>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</si>
  <si>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</si>
  <si>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</si>
  <si>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</si>
  <si>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</si>
  <si>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</si>
  <si>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</si>
  <si>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</si>
  <si>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</si>
  <si>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</si>
  <si>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</si>
  <si>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</si>
  <si>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</si>
  <si>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</si>
  <si>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</si>
  <si>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</si>
  <si>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</si>
  <si>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</si>
  <si>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</si>
  <si>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</si>
  <si>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</si>
  <si>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</si>
  <si>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</si>
  <si>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</si>
  <si>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</si>
  <si>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</si>
  <si>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</si>
  <si>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</si>
  <si>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</si>
  <si>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</si>
  <si>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</si>
  <si>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</si>
  <si>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</si>
  <si>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</si>
  <si>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</si>
  <si>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</si>
  <si>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</si>
  <si>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</si>
  <si>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</si>
  <si>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</si>
  <si>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</si>
  <si>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</si>
  <si>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</si>
  <si>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</si>
  <si>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</si>
  <si>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</si>
  <si>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</si>
  <si>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</si>
  <si>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</si>
  <si>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</si>
  <si>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</si>
  <si>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</si>
  <si>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</si>
  <si>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</si>
  <si>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</si>
  <si>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</si>
  <si>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</si>
  <si>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</si>
  <si>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</si>
  <si>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</si>
  <si>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</si>
  <si>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</si>
  <si>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</si>
  <si>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</si>
  <si>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</si>
  <si>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</si>
  <si>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</si>
  <si>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</si>
  <si>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</si>
  <si>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</si>
  <si>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</si>
  <si>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</si>
  <si>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</si>
  <si>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</si>
  <si>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</si>
  <si>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</si>
  <si>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</si>
  <si>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</si>
  <si>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</si>
  <si>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</si>
  <si>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</si>
  <si>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</si>
  <si>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</si>
  <si>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</si>
  <si>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</si>
  <si>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</si>
  <si>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</si>
  <si>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</si>
  <si>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</si>
  <si>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</si>
  <si>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</si>
  <si>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</si>
  <si>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</si>
  <si>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</si>
  <si>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</si>
  <si>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</si>
  <si>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</si>
  <si>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</si>
  <si>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</si>
  <si>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</si>
  <si>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</si>
  <si>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</si>
  <si>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</si>
  <si>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</si>
  <si>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</si>
  <si>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</si>
  <si>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</si>
  <si>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</si>
  <si>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</si>
  <si>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</si>
  <si>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</si>
  <si>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</si>
  <si>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</si>
  <si>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</si>
  <si>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</si>
  <si>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</si>
  <si>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</si>
  <si>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</si>
  <si>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</si>
  <si>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</si>
  <si>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</si>
  <si>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</si>
  <si>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</si>
  <si>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</si>
  <si>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</si>
  <si>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</si>
  <si>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</si>
  <si>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</si>
  <si>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</si>
  <si>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</si>
  <si>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</si>
  <si>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</si>
  <si>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</si>
  <si>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</si>
  <si>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</si>
  <si>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</si>
  <si>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</si>
  <si>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</si>
  <si>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</si>
  <si>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</si>
  <si>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</si>
  <si>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</si>
  <si>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</si>
  <si>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</si>
  <si>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</si>
  <si>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</si>
  <si>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</si>
  <si>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</si>
  <si>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</si>
  <si>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</si>
  <si>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</si>
  <si>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</si>
  <si>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</si>
  <si>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</si>
  <si>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</si>
  <si>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</si>
  <si>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</si>
  <si>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</si>
  <si>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</si>
  <si>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</si>
  <si>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</si>
  <si>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</si>
  <si>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</si>
  <si>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</si>
  <si>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</si>
  <si>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</si>
  <si>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</si>
  <si>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</si>
  <si>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</si>
  <si>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</si>
  <si>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</si>
  <si>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</si>
  <si>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</si>
  <si>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</si>
  <si>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</si>
  <si>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</si>
  <si>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</si>
  <si>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</si>
  <si>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</si>
  <si>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</si>
  <si>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</si>
  <si>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</si>
  <si>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</si>
  <si>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</si>
  <si>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</si>
  <si>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</si>
  <si>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</si>
  <si>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</si>
  <si>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</si>
  <si>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</si>
  <si>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</si>
  <si>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</si>
  <si>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</si>
  <si>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</si>
  <si>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</si>
  <si>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</si>
  <si>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</si>
  <si>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</si>
  <si>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</si>
  <si>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</si>
  <si>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</si>
  <si>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</si>
  <si>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</si>
  <si>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</si>
  <si>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</si>
  <si>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</si>
  <si>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</si>
  <si>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</si>
  <si>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</si>
  <si>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</si>
  <si>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</si>
  <si>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</si>
  <si>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</si>
  <si>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</si>
  <si>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</si>
  <si>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</si>
  <si>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</si>
  <si>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</si>
  <si>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</si>
  <si>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</si>
  <si>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</si>
  <si>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</si>
  <si>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</si>
  <si>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</si>
  <si>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</si>
  <si>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</si>
  <si>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</si>
  <si>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</si>
  <si>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</si>
  <si>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</si>
  <si>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</si>
  <si>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</si>
  <si>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</si>
  <si>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</si>
  <si>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</si>
  <si>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</si>
  <si>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</si>
  <si>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</si>
  <si>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</si>
  <si>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</si>
  <si>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</si>
  <si>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</si>
  <si>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</si>
  <si>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</si>
  <si>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</si>
  <si>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</si>
  <si>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</si>
  <si>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</si>
  <si>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</si>
  <si>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</si>
  <si>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</si>
  <si>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</si>
  <si>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</si>
  <si>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</si>
  <si>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</si>
  <si>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</si>
  <si>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</si>
  <si>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</si>
  <si>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</si>
  <si>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</si>
  <si>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</si>
  <si>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</si>
  <si>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</si>
  <si>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</si>
  <si>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</si>
  <si>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</si>
  <si>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</si>
  <si>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</si>
  <si>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</si>
  <si>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</si>
  <si>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</si>
  <si>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</si>
  <si>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</si>
  <si>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</si>
  <si>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</si>
  <si>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</si>
  <si>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</si>
  <si>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</si>
  <si>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</si>
  <si>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</si>
  <si>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</si>
  <si>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</si>
  <si>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</si>
  <si>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</si>
  <si>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</si>
  <si>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</si>
  <si>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</si>
  <si>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</si>
  <si>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</si>
  <si>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</si>
  <si>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</si>
  <si>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</si>
  <si>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</si>
  <si>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</si>
  <si>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</si>
  <si>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</si>
  <si>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</si>
  <si>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</si>
  <si>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</si>
  <si>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</si>
  <si>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</si>
  <si>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</si>
  <si>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</si>
  <si>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</si>
  <si>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</si>
  <si>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</si>
  <si>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</si>
  <si>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</si>
  <si>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</si>
  <si>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</si>
  <si>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</si>
  <si>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</si>
  <si>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</si>
  <si>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</si>
  <si>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</si>
  <si>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</si>
  <si>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</si>
  <si>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</si>
  <si>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</si>
  <si>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</si>
  <si>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</si>
  <si>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</si>
  <si>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</si>
  <si>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</si>
  <si>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</si>
  <si>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</si>
  <si>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</si>
  <si>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</si>
  <si>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</si>
  <si>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</si>
  <si>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</si>
  <si>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</si>
  <si>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</si>
  <si>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</si>
  <si>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</si>
  <si>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</si>
  <si>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</si>
  <si>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</si>
  <si>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</si>
  <si>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</si>
  <si>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</si>
  <si>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</si>
  <si>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</si>
  <si>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</si>
  <si>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</si>
  <si>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</si>
  <si>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</si>
  <si>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</si>
  <si>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</si>
  <si>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</si>
  <si>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</si>
  <si>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</si>
  <si>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</si>
  <si>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</si>
  <si>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</si>
  <si>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</si>
  <si>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</si>
  <si>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</si>
  <si>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</si>
  <si>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</si>
  <si>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</si>
  <si>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</si>
  <si>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</si>
  <si>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</si>
  <si>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</si>
  <si>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</si>
  <si>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</si>
  <si>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</si>
  <si>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</si>
  <si>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</si>
  <si>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</si>
  <si>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</si>
  <si>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</si>
  <si>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</si>
  <si>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</si>
  <si>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</si>
  <si>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</si>
  <si>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</si>
  <si>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</si>
  <si>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</si>
  <si>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</si>
  <si>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</si>
  <si>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</si>
  <si>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</si>
  <si>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</si>
  <si>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</si>
  <si>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</si>
  <si>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</si>
  <si>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</si>
  <si>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</si>
  <si>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</si>
  <si>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</si>
  <si>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</si>
  <si>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</si>
  <si>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</si>
  <si>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</si>
  <si>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</si>
  <si>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</si>
  <si>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</si>
  <si>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</si>
  <si>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</si>
  <si>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</si>
  <si>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</si>
  <si>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</si>
  <si>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</si>
  <si>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</si>
  <si>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</si>
  <si>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</si>
  <si>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</si>
  <si>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</si>
  <si>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</si>
  <si>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</si>
  <si>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</si>
  <si>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</si>
  <si>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</si>
  <si>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</si>
  <si>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</si>
  <si>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</si>
  <si>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</si>
  <si>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</si>
  <si>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</si>
  <si>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</si>
  <si>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</si>
  <si>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</si>
  <si>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</si>
  <si>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</si>
  <si>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</si>
  <si>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</si>
  <si>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</si>
  <si>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</si>
  <si>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</si>
  <si>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</si>
  <si>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</si>
  <si>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</si>
  <si>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</si>
  <si>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</si>
  <si>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</si>
  <si>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</si>
  <si>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</si>
  <si>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</si>
  <si>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</si>
  <si>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</si>
  <si>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</si>
  <si>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</si>
  <si>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</si>
  <si>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</si>
  <si>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</si>
  <si>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</si>
  <si>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</si>
  <si>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</si>
  <si>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</si>
  <si>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</si>
  <si>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</si>
  <si>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</si>
  <si>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</si>
  <si>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</si>
  <si>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</si>
  <si>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</si>
  <si>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</si>
  <si>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</si>
  <si>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</si>
  <si>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</si>
  <si>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</si>
  <si>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</si>
  <si>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</si>
  <si>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</si>
  <si>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</si>
  <si>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</si>
  <si>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</si>
  <si>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</si>
  <si>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</si>
  <si>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</si>
  <si>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</si>
  <si>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</si>
  <si>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</si>
  <si>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</si>
  <si>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</si>
  <si>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</si>
  <si>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</si>
  <si>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</si>
  <si>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</si>
  <si>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</si>
  <si>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</si>
  <si>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</si>
  <si>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</si>
  <si>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</si>
  <si>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</si>
  <si>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</si>
  <si>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</si>
  <si>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</si>
  <si>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</si>
  <si>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</si>
  <si>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</si>
  <si>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</si>
  <si>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</si>
  <si>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</si>
  <si>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</si>
  <si>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</si>
  <si>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</si>
  <si>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</si>
  <si>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</si>
  <si>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</si>
  <si>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</si>
  <si>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</si>
  <si>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</si>
  <si>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</si>
  <si>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</si>
  <si>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</si>
  <si>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</si>
  <si>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</si>
  <si>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</si>
  <si>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</si>
  <si>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</si>
  <si>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</si>
  <si>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</si>
  <si>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</si>
  <si>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</si>
  <si>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</si>
  <si>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</si>
  <si>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</si>
  <si>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</si>
  <si>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</si>
  <si>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</si>
  <si>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</si>
  <si>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</si>
  <si>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</si>
  <si>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</si>
  <si>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</si>
  <si>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</si>
  <si>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</si>
  <si>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</si>
  <si>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</si>
  <si>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</si>
  <si>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</si>
  <si>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</si>
  <si>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</si>
  <si>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</si>
  <si>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</si>
  <si>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</si>
  <si>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</si>
  <si>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</si>
  <si>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</si>
  <si>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</si>
  <si>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</si>
  <si>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</si>
  <si>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</si>
  <si>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</si>
  <si>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</si>
  <si>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</si>
  <si>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</si>
  <si>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</si>
  <si>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</si>
  <si>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</si>
  <si>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</si>
  <si>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</si>
  <si>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</si>
  <si>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</si>
  <si>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</si>
  <si>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</si>
  <si>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</si>
  <si>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</si>
  <si>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</si>
  <si>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</si>
  <si>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</si>
  <si>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</si>
  <si>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</si>
  <si>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</si>
  <si>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</si>
  <si>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</si>
  <si>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</si>
  <si>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</si>
  <si>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</si>
  <si>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</si>
  <si>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</si>
  <si>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</si>
  <si>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</si>
  <si>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</si>
  <si>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</si>
  <si>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</si>
  <si>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</si>
  <si>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</si>
  <si>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</si>
  <si>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</si>
  <si>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</si>
  <si>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</si>
  <si>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</si>
  <si>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</si>
  <si>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</si>
  <si>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</si>
  <si>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</si>
  <si>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</si>
  <si>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</si>
  <si>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</si>
  <si>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</si>
  <si>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</si>
  <si>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</si>
  <si>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</si>
  <si>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</si>
  <si>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</si>
  <si>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</si>
  <si>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</si>
  <si>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</si>
  <si>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</si>
  <si>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</si>
  <si>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</si>
  <si>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</si>
  <si>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</si>
  <si>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</si>
  <si>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</si>
  <si>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</si>
  <si>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</si>
  <si>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</si>
  <si>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</si>
  <si>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</si>
  <si>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</si>
  <si>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</si>
  <si>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</si>
  <si>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</si>
  <si>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</si>
  <si>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</si>
  <si>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</si>
  <si>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</si>
  <si>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</si>
  <si>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</si>
  <si>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</si>
  <si>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</si>
  <si>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</si>
  <si>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</si>
  <si>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</si>
  <si>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</si>
  <si>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</si>
  <si>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</si>
  <si>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</si>
  <si>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</si>
  <si>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</si>
  <si>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</si>
  <si>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</si>
  <si>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</si>
  <si>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</si>
  <si>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</si>
  <si>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</si>
  <si>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</si>
  <si>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</si>
  <si>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</si>
  <si>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</si>
  <si>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</si>
  <si>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</si>
  <si>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</si>
  <si>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</si>
  <si>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</si>
  <si>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</si>
  <si>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</si>
  <si>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</si>
  <si>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</si>
  <si>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</si>
  <si>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</si>
  <si>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</si>
  <si>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</si>
  <si>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</si>
  <si>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</si>
  <si>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</si>
  <si>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</si>
  <si>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</si>
  <si>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</si>
  <si>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</si>
  <si>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</si>
  <si>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</si>
  <si>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</si>
  <si>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</si>
  <si>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</si>
  <si>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</si>
  <si>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</si>
  <si>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</si>
  <si>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</si>
  <si>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</si>
  <si>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</si>
  <si>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</si>
  <si>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</si>
  <si>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</si>
  <si>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</si>
  <si>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</si>
  <si>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</si>
  <si>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</si>
  <si>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</si>
  <si>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</si>
  <si>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</si>
  <si>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</si>
  <si>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</si>
  <si>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</si>
  <si>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</si>
  <si>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</si>
  <si>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</si>
  <si>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</si>
  <si>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</si>
  <si>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</si>
  <si>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</si>
  <si>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</si>
  <si>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</si>
  <si>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</si>
  <si>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</si>
  <si>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</si>
  <si>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</si>
  <si>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</si>
  <si>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</si>
  <si>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</si>
  <si>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</si>
  <si>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</si>
  <si>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</si>
  <si>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</si>
  <si>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</si>
  <si>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</si>
  <si>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</si>
  <si>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</si>
  <si>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</si>
  <si>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</si>
  <si>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</si>
  <si>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</si>
  <si>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</si>
  <si>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</si>
  <si>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</si>
  <si>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</si>
  <si>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</si>
  <si>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</si>
  <si>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</si>
  <si>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</si>
  <si>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</si>
  <si>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</si>
  <si>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</si>
  <si>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</si>
  <si>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</si>
  <si>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</si>
  <si>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</si>
  <si>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</si>
  <si>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</si>
  <si>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</si>
  <si>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</si>
  <si>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</si>
  <si>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</si>
  <si>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</si>
  <si>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</si>
  <si>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</si>
  <si>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</si>
  <si>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</si>
  <si>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</si>
  <si>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</si>
  <si>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</si>
  <si>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</si>
  <si>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</si>
  <si>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Total Calls</t>
  </si>
  <si>
    <t>Total Duration</t>
  </si>
  <si>
    <t>Total Amount</t>
  </si>
  <si>
    <t>Avg Satisfaction Rating</t>
  </si>
  <si>
    <t>5 * Calls</t>
  </si>
  <si>
    <t>Row Labels</t>
  </si>
  <si>
    <t>Grand Total</t>
  </si>
  <si>
    <t>Jan</t>
  </si>
  <si>
    <t>Feb</t>
  </si>
  <si>
    <t>Mar</t>
  </si>
  <si>
    <t>Apr</t>
  </si>
  <si>
    <t>May</t>
  </si>
  <si>
    <t>Jun</t>
  </si>
  <si>
    <t>Jul</t>
  </si>
  <si>
    <t>Aug</t>
  </si>
  <si>
    <t>Sep</t>
  </si>
  <si>
    <t>Oct</t>
  </si>
  <si>
    <t>Nov</t>
  </si>
  <si>
    <t>Dec</t>
  </si>
  <si>
    <t>Total Calls2</t>
  </si>
  <si>
    <t>Friday</t>
  </si>
  <si>
    <t>Monday</t>
  </si>
  <si>
    <t>Saturday</t>
  </si>
  <si>
    <t>Sunday</t>
  </si>
  <si>
    <t>Thursday</t>
  </si>
  <si>
    <t>Tuesday</t>
  </si>
  <si>
    <t>Wednesday</t>
  </si>
  <si>
    <t>Count of Call number</t>
  </si>
  <si>
    <t>Sum of Purchase Amount</t>
  </si>
  <si>
    <t>Column Labels</t>
  </si>
  <si>
    <t xml:space="preserve">  </t>
  </si>
  <si>
    <t>%of calls</t>
  </si>
  <si>
    <t>calls</t>
  </si>
  <si>
    <t>amount</t>
  </si>
  <si>
    <t>call rank</t>
  </si>
  <si>
    <t>amount rank</t>
  </si>
  <si>
    <t xml:space="preserve"> Labels:</t>
  </si>
  <si>
    <t>image:</t>
  </si>
  <si>
    <t>CALL CENTRE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</si>
</sst>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409]d\-mmm\-yy;@"/>
    <numFmt numFmtId="165" formatCode="#,##0.0"/>
    <numFmt numFmtId="166" formatCode="\$#,##0;\(\$#,##0\);\$#,##0"/>
    <numFmt numFmtId="167" formatCode="_-[$$-409]* #,##0.00_ ;_-[$$-409]* \-#,##0.00\ ;_-[$$-409]* &quot;-&quot;??_ ;_-@_ "/>
    <numFmt numFmtId="168" formatCode="_-[$$-409]* #,##0_ ;_-[$$-409]* \-#,##0\ ;_-[$$-409]* &quot;-&quot;??_ ;_-@_ "/>
    <numFmt numFmtId="169" formatCode="\$#,###.#,\ &quot;k&quot;"/>
    <numFmt numFmtId="170" formatCode="\$#,###.#,\ &quot;K&quot;"/>
  </numFmts>
  <fonts count="10"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b/>
      <sz val="11"/>
      <color theme="1"/>
      <name val="Aptos ExtraBold"/>
      <family val="2"/>
      <scheme val="major"/>
    </font>
    <font>
      <sz val="11"/>
      <color theme="1"/>
      <name val="Aptos ExtraBold"/>
      <family val="2"/>
      <scheme val="major"/>
    </font>
    <font>
      <sz val="26"/>
      <color rgb="FFC00000"/>
      <name val="Aptos ExtraBold"/>
      <family val="2"/>
      <scheme val="major"/>
    </font>
    <font>
      <sz val="11"/>
      <color rgb="FFC00000"/>
      <name val="Aptos"/>
      <family val="2"/>
      <scheme val="minor"/>
    </font>
    <font>
      <sz val="14"/>
      <color rgb="FFC00000"/>
      <name val="Aptos ExtraBold"/>
      <family val="2"/>
      <scheme val="major"/>
    </font>
  </fonts>
  <fills count="5">
    <fill>
      <patternFill patternType="none"/>
    </fill>
    <fill>
      <patternFill patternType="gray125"/>
    </fill>
    <fill>
      <patternFill patternType="solid">
        <fgColor theme="7"/>
        <bgColor indexed="64"/>
      </patternFill>
    </fill>
    <fill>
      <patternFill patternType="solid">
        <fgColor theme="2"/>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4" fillId="0" borderId="0" applyFont="0" applyFill="0" applyBorder="0" applyAlignment="0" applyProtection="0"/>
  </cellStyleXfs>
  <cellXfs count="54">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165" fontId="0" fillId="0" borderId="0" xfId="0" applyNumberFormat="1"/>
    <xf numFmtId="3" fontId="0" fillId="0" borderId="0" xfId="0" applyNumberFormat="1"/>
    <xf numFmtId="166" fontId="0" fillId="0" borderId="0" xfId="0" applyNumberFormat="1"/>
    <xf numFmtId="1" fontId="0" fillId="0" borderId="0" xfId="0" applyNumberFormat="1"/>
    <xf numFmtId="0" fontId="0" fillId="0" borderId="0" xfId="0" pivotButton="1"/>
    <xf numFmtId="0" fontId="0" fillId="0" borderId="0" xfId="0" applyAlignment="1">
      <alignment horizontal="left"/>
    </xf>
    <xf numFmtId="167" fontId="0" fillId="0" borderId="0" xfId="0" applyNumberFormat="1"/>
    <xf numFmtId="168" fontId="0" fillId="0" borderId="0" xfId="0" applyNumberFormat="1"/>
    <xf numFmtId="169" fontId="0" fillId="0" borderId="0" xfId="0" applyNumberFormat="1"/>
    <xf numFmtId="170" fontId="0" fillId="0" borderId="0" xfId="0" applyNumberFormat="1"/>
    <xf numFmtId="9" fontId="0" fillId="0" borderId="0" xfId="1" applyFont="1"/>
    <xf numFmtId="0" fontId="0" fillId="3" borderId="0" xfId="0" applyFill="1" applyAlignment="1">
      <alignment horizontal="center" vertical="center"/>
    </xf>
    <xf numFmtId="0" fontId="0" fillId="3" borderId="0" xfId="0" applyFill="1" applyAlignment="1">
      <alignment vertical="center"/>
    </xf>
    <xf numFmtId="0" fontId="0" fillId="0" borderId="0" xfId="0" applyAlignment="1">
      <alignment horizontal="left" indent="1"/>
    </xf>
    <xf numFmtId="0" fontId="0" fillId="0" borderId="0" xfId="0" applyAlignment="1">
      <alignment horizontal="center" vertical="center"/>
    </xf>
    <xf numFmtId="0" fontId="0" fillId="3" borderId="0" xfId="0" applyFill="1" applyAlignment="1">
      <alignment horizontal="left" indent="1"/>
    </xf>
    <xf numFmtId="0" fontId="0" fillId="4" borderId="0" xfId="0" applyFill="1"/>
    <xf numFmtId="0" fontId="6" fillId="4" borderId="0" xfId="0" applyFont="1" applyFill="1" applyAlignment="1">
      <alignment horizontal="center" vertical="center"/>
    </xf>
    <xf numFmtId="0" fontId="5" fillId="4" borderId="0" xfId="0" applyFont="1" applyFill="1"/>
    <xf numFmtId="0" fontId="0" fillId="4" borderId="0" xfId="0" applyFill="1" applyAlignment="1">
      <alignment horizontal="center" vertical="center"/>
    </xf>
    <xf numFmtId="0" fontId="0" fillId="4" borderId="0" xfId="0" applyFill="1" applyAlignment="1">
      <alignment horizontal="left" indent="1"/>
    </xf>
    <xf numFmtId="0" fontId="0" fillId="3" borderId="0" xfId="0" applyFill="1" applyAlignment="1">
      <alignment horizontal="right" vertical="center"/>
    </xf>
    <xf numFmtId="0" fontId="6" fillId="4" borderId="0" xfId="0" applyFont="1" applyFill="1" applyAlignment="1">
      <alignment horizontal="right" vertical="center"/>
    </xf>
    <xf numFmtId="0" fontId="0" fillId="4" borderId="0" xfId="0" applyFill="1" applyAlignment="1">
      <alignment horizontal="right" vertical="center"/>
    </xf>
    <xf numFmtId="0" fontId="0" fillId="0" borderId="0" xfId="0" applyAlignment="1">
      <alignment horizontal="right" vertical="center"/>
    </xf>
    <xf numFmtId="168" fontId="0" fillId="4" borderId="0" xfId="0" applyNumberFormat="1" applyFill="1" applyAlignment="1">
      <alignment horizontal="right" vertical="center"/>
    </xf>
    <xf numFmtId="0" fontId="9" fillId="3" borderId="0" xfId="0" applyFont="1" applyFill="1"/>
    <xf numFmtId="0" fontId="0" fillId="3" borderId="0" xfId="0" applyFill="1" applyAlignment="1">
      <alignment horizontal="center" vertical="center"/>
    </xf>
    <xf numFmtId="0" fontId="9" fillId="3" borderId="0" xfId="0" applyFont="1" applyFill="1" applyAlignment="1">
      <alignment horizontal="center"/>
    </xf>
    <xf numFmtId="0" fontId="7" fillId="3" borderId="0" xfId="0" applyFont="1" applyFill="1" applyAlignment="1">
      <alignment horizontal="center"/>
    </xf>
    <xf numFmtId="0" fontId="8" fillId="3" borderId="0" xfId="0" applyFont="1" applyFill="1" applyAlignment="1">
      <alignment horizontal="center"/>
    </xf>
    <xf numFmtId="0" fontId="0" fillId="0" borderId="0" xfId="0"/>
    <xf numFmtId="0" fontId="0" fillId="0" borderId="0" xfId="0" applyNumberFormat="1"/>
  </cellXfs>
  <cellStyles count="2">
    <cellStyle name="Normal" xfId="0" builtinId="0"/>
    <cellStyle name="Percent" xfId="1" builtinId="5"/>
  </cellStyles>
  <dxfs count="28">
    <dxf>
      <fill>
        <patternFill>
          <bgColor theme="8" tint="0.39994506668294322"/>
        </patternFill>
      </fill>
      <border>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7" formatCode="_-[$$-409]* #,##0.00_ ;_-[$$-409]* \-#,##0.00\ ;_-[$$-409]* &quot;-&quot;??_ ;_-@_ "/>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7"/>
    </tableStyle>
    <tableStyle name="Slicer Style 2" pivot="0" table="0" count="1" xr9:uid="{A29C5605-545E-4B40-A0F7-CC63976C2BA2}"/>
  </tableStyles>
  <colors>
    <mruColors>
      <color rgb="FFCC3300"/>
    </mruColors>
  </colors>
  <extLst>
    <ext xmlns:x14="http://schemas.microsoft.com/office/spreadsheetml/2009/9/main" uri="{46F421CA-312F-682f-3DD2-61675219B42D}">
      <x14:dxfs count="1">
        <dxf>
          <font>
            <b/>
            <i val="0"/>
            <name val="Aptos ExtraBold"/>
            <family val="2"/>
            <scheme val="major"/>
          </font>
          <fill>
            <patternFill>
              <bgColor rgb="FFC00000"/>
            </patternFill>
          </fill>
        </dxf>
      </x14:dxfs>
    </ext>
    <ext xmlns:x14="http://schemas.microsoft.com/office/spreadsheetml/2009/9/main" uri="{EB79DEF2-80B8-43e5-95BD-54CBDDF9020C}">
      <x14:slicerStyles defaultSlicerStyle="SlicerStyleLight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22/10/relationships/richValueRel" Target="richData/richValueRel.xml"/><Relationship Id="rId28" Type="http://schemas.openxmlformats.org/officeDocument/2006/relationships/calcChain" Target="calcChain.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eetMetadata" Target="metadata.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 dashboard.xlsx]Sheet1!Weekday Trend</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Sheet1!$M$20</c:f>
              <c:strCache>
                <c:ptCount val="1"/>
                <c:pt idx="0">
                  <c:v>Total</c:v>
                </c:pt>
              </c:strCache>
            </c:strRef>
          </c:tx>
          <c:spPr>
            <a:solidFill>
              <a:schemeClr val="accent1"/>
            </a:solidFill>
            <a:ln>
              <a:noFill/>
            </a:ln>
            <a:effectLst/>
          </c:spPr>
          <c:invertIfNegative val="0"/>
          <c:cat>
            <c:strRef>
              <c:f>Sheet1!$L$21:$L$28</c:f>
              <c:strCache>
                <c:ptCount val="7"/>
                <c:pt idx="0">
                  <c:v>Sunday</c:v>
                </c:pt>
                <c:pt idx="1">
                  <c:v>Monday</c:v>
                </c:pt>
                <c:pt idx="2">
                  <c:v>Tuesday</c:v>
                </c:pt>
                <c:pt idx="3">
                  <c:v>Wednesday</c:v>
                </c:pt>
                <c:pt idx="4">
                  <c:v>Thursday</c:v>
                </c:pt>
                <c:pt idx="5">
                  <c:v>Friday</c:v>
                </c:pt>
                <c:pt idx="6">
                  <c:v>Saturday</c:v>
                </c:pt>
              </c:strCache>
            </c:strRef>
          </c:cat>
          <c:val>
            <c:numRef>
              <c:f>Sheet1!$M$21:$M$28</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0E84-4457-ABC2-3F9D11332446}"/>
            </c:ext>
          </c:extLst>
        </c:ser>
        <c:dLbls>
          <c:showLegendKey val="0"/>
          <c:showVal val="0"/>
          <c:showCatName val="0"/>
          <c:showSerName val="0"/>
          <c:showPercent val="0"/>
          <c:showBubbleSize val="0"/>
        </c:dLbls>
        <c:gapWidth val="182"/>
        <c:axId val="1225617136"/>
        <c:axId val="403114928"/>
      </c:barChart>
      <c:catAx>
        <c:axId val="1225617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114928"/>
        <c:crosses val="autoZero"/>
        <c:auto val="1"/>
        <c:lblAlgn val="ctr"/>
        <c:lblOffset val="100"/>
        <c:noMultiLvlLbl val="0"/>
      </c:catAx>
      <c:valAx>
        <c:axId val="4031149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61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Sheet1!$G$40:$G$44</c:f>
              <c:strCache>
                <c:ptCount val="5"/>
                <c:pt idx="0">
                  <c:v>R01</c:v>
                </c:pt>
                <c:pt idx="1">
                  <c:v>R02</c:v>
                </c:pt>
                <c:pt idx="2">
                  <c:v>R03</c:v>
                </c:pt>
                <c:pt idx="3">
                  <c:v>R04</c:v>
                </c:pt>
                <c:pt idx="4">
                  <c:v>R05</c:v>
                </c:pt>
              </c:strCache>
            </c:strRef>
          </c:cat>
          <c:val>
            <c:numRef>
              <c:f>Sheet1!$H$40:$H$44</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55F5-4610-880E-7FD82F57FB34}"/>
            </c:ext>
          </c:extLst>
        </c:ser>
        <c:ser>
          <c:idx val="1"/>
          <c:order val="1"/>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Sheet1!$G$40:$G$44</c:f>
              <c:strCache>
                <c:ptCount val="5"/>
                <c:pt idx="0">
                  <c:v>R01</c:v>
                </c:pt>
                <c:pt idx="1">
                  <c:v>R02</c:v>
                </c:pt>
                <c:pt idx="2">
                  <c:v>R03</c:v>
                </c:pt>
                <c:pt idx="3">
                  <c:v>R04</c:v>
                </c:pt>
                <c:pt idx="4">
                  <c:v>R05</c:v>
                </c:pt>
              </c:strCache>
            </c:strRef>
          </c:cat>
          <c:val>
            <c:numRef>
              <c:f>Sheet1!$I$40:$I$44</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1-55F5-4610-880E-7FD82F57FB34}"/>
            </c:ext>
          </c:extLst>
        </c:ser>
        <c:dLbls>
          <c:dLblPos val="outEnd"/>
          <c:showLegendKey val="0"/>
          <c:showVal val="1"/>
          <c:showCatName val="0"/>
          <c:showSerName val="0"/>
          <c:showPercent val="0"/>
          <c:showBubbleSize val="0"/>
        </c:dLbls>
        <c:gapWidth val="25"/>
        <c:overlap val="100"/>
        <c:axId val="1267371632"/>
        <c:axId val="1263577936"/>
      </c:barChart>
      <c:catAx>
        <c:axId val="126737163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577936"/>
        <c:crosses val="autoZero"/>
        <c:auto val="1"/>
        <c:lblAlgn val="ctr"/>
        <c:lblOffset val="100"/>
        <c:noMultiLvlLbl val="0"/>
      </c:catAx>
      <c:valAx>
        <c:axId val="1263577936"/>
        <c:scaling>
          <c:orientation val="minMax"/>
          <c:min val="0"/>
        </c:scaling>
        <c:delete val="1"/>
        <c:axPos val="t"/>
        <c:numFmt formatCode="General" sourceLinked="1"/>
        <c:majorTickMark val="none"/>
        <c:minorTickMark val="none"/>
        <c:tickLblPos val="nextTo"/>
        <c:crossAx val="1267371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Sheet1!$K$42:$K$46</c:f>
              <c:strCache>
                <c:ptCount val="5"/>
                <c:pt idx="0">
                  <c:v>R01</c:v>
                </c:pt>
                <c:pt idx="1">
                  <c:v>R02</c:v>
                </c:pt>
                <c:pt idx="2">
                  <c:v>R03</c:v>
                </c:pt>
                <c:pt idx="3">
                  <c:v>R04</c:v>
                </c:pt>
                <c:pt idx="4">
                  <c:v>R05</c:v>
                </c:pt>
              </c:strCache>
            </c:strRef>
          </c:cat>
          <c:val>
            <c:numRef>
              <c:f>Sheet1!$L$42:$L$46</c:f>
              <c:numCache>
                <c:formatCode>\$#,###.#,\ "k"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C565-43B8-8DE3-713B42324899}"/>
            </c:ext>
          </c:extLst>
        </c:ser>
        <c:ser>
          <c:idx val="1"/>
          <c:order val="1"/>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Sheet1!$K$42:$K$46</c:f>
              <c:strCache>
                <c:ptCount val="5"/>
                <c:pt idx="0">
                  <c:v>R01</c:v>
                </c:pt>
                <c:pt idx="1">
                  <c:v>R02</c:v>
                </c:pt>
                <c:pt idx="2">
                  <c:v>R03</c:v>
                </c:pt>
                <c:pt idx="3">
                  <c:v>R04</c:v>
                </c:pt>
                <c:pt idx="4">
                  <c:v>R05</c:v>
                </c:pt>
              </c:strCache>
            </c:strRef>
          </c:cat>
          <c:val>
            <c:numRef>
              <c:f>Sheet1!$M$42:$M$46</c:f>
              <c:numCache>
                <c:formatCode>\$#,###.#,\ "K"</c:formatCode>
                <c:ptCount val="5"/>
                <c:pt idx="0">
                  <c:v>#N/A</c:v>
                </c:pt>
                <c:pt idx="1">
                  <c:v>#N/A</c:v>
                </c:pt>
                <c:pt idx="2">
                  <c:v>#N/A</c:v>
                </c:pt>
                <c:pt idx="3">
                  <c:v>#N/A</c:v>
                </c:pt>
                <c:pt idx="4">
                  <c:v>20104</c:v>
                </c:pt>
              </c:numCache>
            </c:numRef>
          </c:val>
          <c:extLst>
            <c:ext xmlns:c16="http://schemas.microsoft.com/office/drawing/2014/chart" uri="{C3380CC4-5D6E-409C-BE32-E72D297353CC}">
              <c16:uniqueId val="{00000001-C565-43B8-8DE3-713B42324899}"/>
            </c:ext>
          </c:extLst>
        </c:ser>
        <c:dLbls>
          <c:dLblPos val="outEnd"/>
          <c:showLegendKey val="0"/>
          <c:showVal val="1"/>
          <c:showCatName val="0"/>
          <c:showSerName val="0"/>
          <c:showPercent val="0"/>
          <c:showBubbleSize val="0"/>
        </c:dLbls>
        <c:gapWidth val="25"/>
        <c:overlap val="100"/>
        <c:axId val="549497680"/>
        <c:axId val="1263561616"/>
      </c:barChart>
      <c:catAx>
        <c:axId val="54949768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561616"/>
        <c:crosses val="autoZero"/>
        <c:auto val="1"/>
        <c:lblAlgn val="ctr"/>
        <c:lblOffset val="100"/>
        <c:noMultiLvlLbl val="0"/>
      </c:catAx>
      <c:valAx>
        <c:axId val="1263561616"/>
        <c:scaling>
          <c:orientation val="minMax"/>
        </c:scaling>
        <c:delete val="1"/>
        <c:axPos val="t"/>
        <c:numFmt formatCode="\$#,###.#,\ &quot;k&quot;" sourceLinked="1"/>
        <c:majorTickMark val="out"/>
        <c:minorTickMark val="none"/>
        <c:tickLblPos val="nextTo"/>
        <c:crossAx val="549497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 dashboard.xlsx]Sheet1!PivotTable2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Sheet1!$M$66:$M$67</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Sheet1!$L$68:$L$71</c:f>
              <c:strCache>
                <c:ptCount val="3"/>
                <c:pt idx="0">
                  <c:v>Cincinnati</c:v>
                </c:pt>
                <c:pt idx="1">
                  <c:v>Cleveland</c:v>
                </c:pt>
                <c:pt idx="2">
                  <c:v>Columbus</c:v>
                </c:pt>
              </c:strCache>
            </c:strRef>
          </c:cat>
          <c:val>
            <c:numRef>
              <c:f>Sheet1!$M$68:$M$71</c:f>
              <c:numCache>
                <c:formatCode>General</c:formatCode>
                <c:ptCount val="3"/>
                <c:pt idx="0">
                  <c:v>144</c:v>
                </c:pt>
                <c:pt idx="1">
                  <c:v>326</c:v>
                </c:pt>
                <c:pt idx="2">
                  <c:v>129</c:v>
                </c:pt>
              </c:numCache>
            </c:numRef>
          </c:val>
          <c:extLst>
            <c:ext xmlns:c16="http://schemas.microsoft.com/office/drawing/2014/chart" uri="{C3380CC4-5D6E-409C-BE32-E72D297353CC}">
              <c16:uniqueId val="{00000000-C816-46B5-95B5-4E2D97BB07D9}"/>
            </c:ext>
          </c:extLst>
        </c:ser>
        <c:ser>
          <c:idx val="1"/>
          <c:order val="1"/>
          <c:tx>
            <c:strRef>
              <c:f>Sheet1!$N$66:$N$67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Sheet1!$L$68:$L$71</c:f>
              <c:strCache>
                <c:ptCount val="3"/>
                <c:pt idx="0">
                  <c:v>Cincinnati</c:v>
                </c:pt>
                <c:pt idx="1">
                  <c:v>Cleveland</c:v>
                </c:pt>
                <c:pt idx="2">
                  <c:v>Columbus</c:v>
                </c:pt>
              </c:strCache>
            </c:strRef>
          </c:cat>
          <c:val>
            <c:numRef>
              <c:f>Sheet1!$N$68:$N$71</c:f>
              <c:numCache>
                <c:formatCode>General</c:formatCode>
                <c:ptCount val="3"/>
                <c:pt idx="0">
                  <c:v>132</c:v>
                </c:pt>
                <c:pt idx="1">
                  <c:v>63</c:v>
                </c:pt>
                <c:pt idx="2">
                  <c:v>206</c:v>
                </c:pt>
              </c:numCache>
            </c:numRef>
          </c:val>
          <c:extLst>
            <c:ext xmlns:c16="http://schemas.microsoft.com/office/drawing/2014/chart" uri="{C3380CC4-5D6E-409C-BE32-E72D297353CC}">
              <c16:uniqueId val="{00000001-C816-46B5-95B5-4E2D97BB07D9}"/>
            </c:ext>
          </c:extLst>
        </c:ser>
        <c:dLbls>
          <c:dLblPos val="ctr"/>
          <c:showLegendKey val="0"/>
          <c:showVal val="1"/>
          <c:showCatName val="0"/>
          <c:showSerName val="0"/>
          <c:showPercent val="0"/>
          <c:showBubbleSize val="0"/>
        </c:dLbls>
        <c:gapWidth val="150"/>
        <c:overlap val="100"/>
        <c:axId val="22906879"/>
        <c:axId val="1356163247"/>
      </c:barChart>
      <c:catAx>
        <c:axId val="229068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163247"/>
        <c:crosses val="autoZero"/>
        <c:auto val="1"/>
        <c:lblAlgn val="ctr"/>
        <c:lblOffset val="100"/>
        <c:noMultiLvlLbl val="0"/>
      </c:catAx>
      <c:valAx>
        <c:axId val="1356163247"/>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2290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 dashboard.xlsx]Sheet1!PivotTable4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Sheet1!$C$87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Sheet1!$B$88:$B$92</c:f>
              <c:strCache>
                <c:ptCount val="4"/>
                <c:pt idx="0">
                  <c:v>2</c:v>
                </c:pt>
                <c:pt idx="1">
                  <c:v>3</c:v>
                </c:pt>
                <c:pt idx="2">
                  <c:v>4</c:v>
                </c:pt>
                <c:pt idx="3">
                  <c:v>5</c:v>
                </c:pt>
              </c:strCache>
            </c:strRef>
          </c:cat>
          <c:val>
            <c:numRef>
              <c:f>Sheet1!$C$88:$C$92</c:f>
              <c:numCache>
                <c:formatCode>General</c:formatCode>
                <c:ptCount val="4"/>
                <c:pt idx="0">
                  <c:v>10</c:v>
                </c:pt>
                <c:pt idx="1">
                  <c:v>44</c:v>
                </c:pt>
                <c:pt idx="2">
                  <c:v>95</c:v>
                </c:pt>
                <c:pt idx="3">
                  <c:v>51</c:v>
                </c:pt>
              </c:numCache>
            </c:numRef>
          </c:val>
          <c:extLst>
            <c:ext xmlns:c16="http://schemas.microsoft.com/office/drawing/2014/chart" uri="{C3380CC4-5D6E-409C-BE32-E72D297353CC}">
              <c16:uniqueId val="{00000000-C324-4E6E-B153-98B3F893E230}"/>
            </c:ext>
          </c:extLst>
        </c:ser>
        <c:dLbls>
          <c:dLblPos val="outEnd"/>
          <c:showLegendKey val="0"/>
          <c:showVal val="1"/>
          <c:showCatName val="0"/>
          <c:showSerName val="0"/>
          <c:showPercent val="0"/>
          <c:showBubbleSize val="0"/>
        </c:dLbls>
        <c:gapWidth val="219"/>
        <c:overlap val="-27"/>
        <c:axId val="64246911"/>
        <c:axId val="152928879"/>
      </c:barChart>
      <c:catAx>
        <c:axId val="64246911"/>
        <c:scaling>
          <c:orientation val="minMax"/>
        </c:scaling>
        <c:delete val="1"/>
        <c:axPos val="b"/>
        <c:numFmt formatCode="General" sourceLinked="1"/>
        <c:majorTickMark val="none"/>
        <c:minorTickMark val="none"/>
        <c:tickLblPos val="nextTo"/>
        <c:crossAx val="152928879"/>
        <c:crosses val="autoZero"/>
        <c:auto val="1"/>
        <c:lblAlgn val="ctr"/>
        <c:lblOffset val="100"/>
        <c:noMultiLvlLbl val="0"/>
      </c:catAx>
      <c:valAx>
        <c:axId val="15292887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24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 dashboard.xlsx]Sheet1!Weekday Trend</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C00000"/>
              </a:gs>
              <a:gs pos="100000">
                <a:srgbClr val="CC3300">
                  <a:alpha val="66000"/>
                  <a:lumMod val="96000"/>
                </a:srgbClr>
              </a:gs>
            </a:gsLst>
            <a:path path="circle">
              <a:fillToRect l="100000" t="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3599512189912"/>
          <c:y val="4.3526167966454005E-2"/>
          <c:w val="0.55857896183060829"/>
          <c:h val="0.88030303809225152"/>
        </c:manualLayout>
      </c:layout>
      <c:barChart>
        <c:barDir val="bar"/>
        <c:grouping val="clustered"/>
        <c:varyColors val="0"/>
        <c:ser>
          <c:idx val="0"/>
          <c:order val="0"/>
          <c:tx>
            <c:strRef>
              <c:f>Sheet1!$M$20</c:f>
              <c:strCache>
                <c:ptCount val="1"/>
                <c:pt idx="0">
                  <c:v>Total</c:v>
                </c:pt>
              </c:strCache>
            </c:strRef>
          </c:tx>
          <c:spPr>
            <a:gradFill>
              <a:gsLst>
                <a:gs pos="0">
                  <a:srgbClr val="C00000"/>
                </a:gs>
                <a:gs pos="100000">
                  <a:srgbClr val="CC3300">
                    <a:alpha val="66000"/>
                    <a:lumMod val="96000"/>
                  </a:srgbClr>
                </a:gs>
              </a:gsLst>
              <a:path path="circle">
                <a:fillToRect l="100000" t="10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Sheet1!$L$21:$L$28</c:f>
              <c:strCache>
                <c:ptCount val="7"/>
                <c:pt idx="0">
                  <c:v>Sunday</c:v>
                </c:pt>
                <c:pt idx="1">
                  <c:v>Monday</c:v>
                </c:pt>
                <c:pt idx="2">
                  <c:v>Tuesday</c:v>
                </c:pt>
                <c:pt idx="3">
                  <c:v>Wednesday</c:v>
                </c:pt>
                <c:pt idx="4">
                  <c:v>Thursday</c:v>
                </c:pt>
                <c:pt idx="5">
                  <c:v>Friday</c:v>
                </c:pt>
                <c:pt idx="6">
                  <c:v>Saturday</c:v>
                </c:pt>
              </c:strCache>
            </c:strRef>
          </c:cat>
          <c:val>
            <c:numRef>
              <c:f>Sheet1!$M$21:$M$28</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3B8D-4158-87EE-6668C07372DE}"/>
            </c:ext>
          </c:extLst>
        </c:ser>
        <c:dLbls>
          <c:dLblPos val="outEnd"/>
          <c:showLegendKey val="0"/>
          <c:showVal val="1"/>
          <c:showCatName val="0"/>
          <c:showSerName val="0"/>
          <c:showPercent val="0"/>
          <c:showBubbleSize val="0"/>
        </c:dLbls>
        <c:gapWidth val="25"/>
        <c:axId val="1225617136"/>
        <c:axId val="403114928"/>
      </c:barChart>
      <c:catAx>
        <c:axId val="1225617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114928"/>
        <c:crosses val="autoZero"/>
        <c:auto val="1"/>
        <c:lblAlgn val="ctr"/>
        <c:lblOffset val="100"/>
        <c:noMultiLvlLbl val="0"/>
      </c:catAx>
      <c:valAx>
        <c:axId val="403114928"/>
        <c:scaling>
          <c:orientation val="minMax"/>
        </c:scaling>
        <c:delete val="1"/>
        <c:axPos val="b"/>
        <c:numFmt formatCode="#,##0" sourceLinked="1"/>
        <c:majorTickMark val="none"/>
        <c:minorTickMark val="none"/>
        <c:tickLblPos val="nextTo"/>
        <c:crossAx val="122561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 dashboard.xlsx]Sheet1!Monthly Trend</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C00000"/>
                </a:solidFill>
                <a:latin typeface="+mj-lt"/>
              </a:rPr>
              <a:t>Call</a:t>
            </a:r>
            <a:r>
              <a:rPr lang="en-IN" baseline="0"/>
              <a:t> </a:t>
            </a:r>
            <a:r>
              <a:rPr lang="en-IN" b="1" baseline="0">
                <a:solidFill>
                  <a:srgbClr val="C00000"/>
                </a:solidFill>
                <a:latin typeface="+mj-lt"/>
              </a:rPr>
              <a:t>Trend</a:t>
            </a:r>
            <a:endParaRPr lang="en-IN" b="1">
              <a:solidFill>
                <a:srgbClr val="C00000"/>
              </a:solidFill>
              <a:latin typeface="+mj-lt"/>
            </a:endParaRPr>
          </a:p>
        </c:rich>
      </c:tx>
      <c:layout>
        <c:manualLayout>
          <c:xMode val="edge"/>
          <c:yMode val="edge"/>
          <c:x val="0.37719154099935531"/>
          <c:y val="3.83148863030530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circle"/>
          <c:size val="5"/>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rgbClr val="C00000"/>
              </a:gs>
              <a:gs pos="100000">
                <a:srgbClr val="CC3300">
                  <a:alpha val="66000"/>
                  <a:lumMod val="92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Sheet1!$D$19</c:f>
              <c:strCache>
                <c:ptCount val="1"/>
                <c:pt idx="0">
                  <c:v>Total Calls2</c:v>
                </c:pt>
              </c:strCache>
            </c:strRef>
          </c:tx>
          <c:spPr>
            <a:gradFill>
              <a:gsLst>
                <a:gs pos="0">
                  <a:srgbClr val="C00000"/>
                </a:gs>
                <a:gs pos="100000">
                  <a:srgbClr val="CC3300">
                    <a:alpha val="66000"/>
                    <a:lumMod val="92000"/>
                  </a:srgbClr>
                </a:gs>
              </a:gsLst>
              <a:lin ang="5400000" scaled="1"/>
            </a:gradFill>
            <a:ln>
              <a:noFill/>
            </a:ln>
            <a:effectLst/>
          </c:spPr>
          <c:cat>
            <c:strRef>
              <c:f>Sheet1!$B$20:$B$32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Sheet1!$D$20:$D$32</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3-C448-43C7-A2E4-40FA805669E0}"/>
            </c:ext>
          </c:extLst>
        </c:ser>
        <c:dLbls>
          <c:showLegendKey val="0"/>
          <c:showVal val="0"/>
          <c:showCatName val="0"/>
          <c:showSerName val="0"/>
          <c:showPercent val="0"/>
          <c:showBubbleSize val="0"/>
        </c:dLbls>
        <c:axId val="1183765744"/>
        <c:axId val="426895472"/>
      </c:areaChart>
      <c:lineChart>
        <c:grouping val="standard"/>
        <c:varyColors val="0"/>
        <c:ser>
          <c:idx val="0"/>
          <c:order val="0"/>
          <c:tx>
            <c:strRef>
              <c:f>Sheet1!$C$19</c:f>
              <c:strCache>
                <c:ptCount val="1"/>
                <c:pt idx="0">
                  <c:v>Total Calls</c:v>
                </c:pt>
              </c:strCache>
            </c:strRef>
          </c:tx>
          <c:spPr>
            <a:ln w="28575" cap="rnd">
              <a:solidFill>
                <a:srgbClr val="C00000"/>
              </a:solidFill>
              <a:round/>
            </a:ln>
            <a:effectLst/>
          </c:spPr>
          <c:marker>
            <c:symbol val="circle"/>
            <c:size val="5"/>
            <c:spPr>
              <a:solidFill>
                <a:schemeClr val="bg1"/>
              </a:solidFill>
              <a:ln w="9525">
                <a:solidFill>
                  <a:schemeClr val="tx1"/>
                </a:solidFill>
              </a:ln>
              <a:effectLst/>
            </c:spPr>
          </c:marker>
          <c:cat>
            <c:strRef>
              <c:f>Sheet1!$B$20:$B$32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Sheet1!$C$20:$C$32</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0-C448-43C7-A2E4-40FA805669E0}"/>
            </c:ext>
          </c:extLst>
        </c:ser>
        <c:dLbls>
          <c:showLegendKey val="0"/>
          <c:showVal val="0"/>
          <c:showCatName val="0"/>
          <c:showSerName val="0"/>
          <c:showPercent val="0"/>
          <c:showBubbleSize val="0"/>
        </c:dLbls>
        <c:marker val="1"/>
        <c:smooth val="0"/>
        <c:axId val="1183765744"/>
        <c:axId val="426895472"/>
      </c:lineChart>
      <c:catAx>
        <c:axId val="118376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895472"/>
        <c:crosses val="autoZero"/>
        <c:auto val="1"/>
        <c:lblAlgn val="ctr"/>
        <c:lblOffset val="100"/>
        <c:noMultiLvlLbl val="0"/>
      </c:catAx>
      <c:valAx>
        <c:axId val="4268954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76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C00000"/>
                </a:solidFill>
                <a:latin typeface="+mj-lt"/>
              </a:rPr>
              <a:t>Call</a:t>
            </a:r>
            <a:r>
              <a:rPr lang="en-IN" baseline="0"/>
              <a:t> </a:t>
            </a:r>
            <a:r>
              <a:rPr lang="en-IN" baseline="0">
                <a:solidFill>
                  <a:srgbClr val="C00000"/>
                </a:solidFill>
                <a:latin typeface="+mj-lt"/>
              </a:rPr>
              <a:t>Count</a:t>
            </a:r>
            <a:endParaRPr lang="en-IN">
              <a:solidFill>
                <a:srgbClr val="C00000"/>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Sheet1!$G$40:$G$44</c:f>
              <c:strCache>
                <c:ptCount val="5"/>
                <c:pt idx="0">
                  <c:v>R01</c:v>
                </c:pt>
                <c:pt idx="1">
                  <c:v>R02</c:v>
                </c:pt>
                <c:pt idx="2">
                  <c:v>R03</c:v>
                </c:pt>
                <c:pt idx="3">
                  <c:v>R04</c:v>
                </c:pt>
                <c:pt idx="4">
                  <c:v>R05</c:v>
                </c:pt>
              </c:strCache>
            </c:strRef>
          </c:cat>
          <c:val>
            <c:numRef>
              <c:f>Sheet1!$H$40:$H$44</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7DA0-4B91-8727-E7BA1F12A773}"/>
            </c:ext>
          </c:extLst>
        </c:ser>
        <c:ser>
          <c:idx val="1"/>
          <c:order val="1"/>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Sheet1!$G$40:$G$44</c:f>
              <c:strCache>
                <c:ptCount val="5"/>
                <c:pt idx="0">
                  <c:v>R01</c:v>
                </c:pt>
                <c:pt idx="1">
                  <c:v>R02</c:v>
                </c:pt>
                <c:pt idx="2">
                  <c:v>R03</c:v>
                </c:pt>
                <c:pt idx="3">
                  <c:v>R04</c:v>
                </c:pt>
                <c:pt idx="4">
                  <c:v>R05</c:v>
                </c:pt>
              </c:strCache>
            </c:strRef>
          </c:cat>
          <c:val>
            <c:numRef>
              <c:f>Sheet1!$I$40:$I$44</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1-7DA0-4B91-8727-E7BA1F12A773}"/>
            </c:ext>
          </c:extLst>
        </c:ser>
        <c:dLbls>
          <c:dLblPos val="outEnd"/>
          <c:showLegendKey val="0"/>
          <c:showVal val="1"/>
          <c:showCatName val="0"/>
          <c:showSerName val="0"/>
          <c:showPercent val="0"/>
          <c:showBubbleSize val="0"/>
        </c:dLbls>
        <c:gapWidth val="25"/>
        <c:overlap val="100"/>
        <c:axId val="1267371632"/>
        <c:axId val="1263577936"/>
      </c:barChart>
      <c:catAx>
        <c:axId val="126737163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577936"/>
        <c:crosses val="autoZero"/>
        <c:auto val="1"/>
        <c:lblAlgn val="ctr"/>
        <c:lblOffset val="100"/>
        <c:noMultiLvlLbl val="0"/>
      </c:catAx>
      <c:valAx>
        <c:axId val="1263577936"/>
        <c:scaling>
          <c:orientation val="minMax"/>
          <c:min val="0"/>
        </c:scaling>
        <c:delete val="1"/>
        <c:axPos val="t"/>
        <c:numFmt formatCode="General" sourceLinked="1"/>
        <c:majorTickMark val="none"/>
        <c:minorTickMark val="none"/>
        <c:tickLblPos val="nextTo"/>
        <c:crossAx val="1267371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C00000"/>
                </a:solidFill>
                <a:latin typeface="+mj-lt"/>
              </a:rPr>
              <a:t>Amount</a:t>
            </a:r>
          </a:p>
        </c:rich>
      </c:tx>
      <c:layout>
        <c:manualLayout>
          <c:xMode val="edge"/>
          <c:yMode val="edge"/>
          <c:x val="0.37244752280303467"/>
          <c:y val="7.51457057483506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8843505443479928E-2"/>
          <c:y val="0.17616184946060234"/>
          <c:w val="0.90923104681125377"/>
          <c:h val="0.79827143360470776"/>
        </c:manualLayout>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Sheet1!$K$42:$K$46</c:f>
              <c:strCache>
                <c:ptCount val="5"/>
                <c:pt idx="0">
                  <c:v>R01</c:v>
                </c:pt>
                <c:pt idx="1">
                  <c:v>R02</c:v>
                </c:pt>
                <c:pt idx="2">
                  <c:v>R03</c:v>
                </c:pt>
                <c:pt idx="3">
                  <c:v>R04</c:v>
                </c:pt>
                <c:pt idx="4">
                  <c:v>R05</c:v>
                </c:pt>
              </c:strCache>
            </c:strRef>
          </c:cat>
          <c:val>
            <c:numRef>
              <c:f>Sheet1!$L$42:$L$46</c:f>
              <c:numCache>
                <c:formatCode>\$#,###.#,\ "k"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8829-4B71-A41B-944341116B2B}"/>
            </c:ext>
          </c:extLst>
        </c:ser>
        <c:ser>
          <c:idx val="1"/>
          <c:order val="1"/>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Sheet1!$K$42:$K$46</c:f>
              <c:strCache>
                <c:ptCount val="5"/>
                <c:pt idx="0">
                  <c:v>R01</c:v>
                </c:pt>
                <c:pt idx="1">
                  <c:v>R02</c:v>
                </c:pt>
                <c:pt idx="2">
                  <c:v>R03</c:v>
                </c:pt>
                <c:pt idx="3">
                  <c:v>R04</c:v>
                </c:pt>
                <c:pt idx="4">
                  <c:v>R05</c:v>
                </c:pt>
              </c:strCache>
            </c:strRef>
          </c:cat>
          <c:val>
            <c:numRef>
              <c:f>Sheet1!$M$42:$M$46</c:f>
              <c:numCache>
                <c:formatCode>\$#,###.#,\ "K"</c:formatCode>
                <c:ptCount val="5"/>
                <c:pt idx="0">
                  <c:v>#N/A</c:v>
                </c:pt>
                <c:pt idx="1">
                  <c:v>#N/A</c:v>
                </c:pt>
                <c:pt idx="2">
                  <c:v>#N/A</c:v>
                </c:pt>
                <c:pt idx="3">
                  <c:v>#N/A</c:v>
                </c:pt>
                <c:pt idx="4">
                  <c:v>20104</c:v>
                </c:pt>
              </c:numCache>
            </c:numRef>
          </c:val>
          <c:extLst>
            <c:ext xmlns:c16="http://schemas.microsoft.com/office/drawing/2014/chart" uri="{C3380CC4-5D6E-409C-BE32-E72D297353CC}">
              <c16:uniqueId val="{00000001-8829-4B71-A41B-944341116B2B}"/>
            </c:ext>
          </c:extLst>
        </c:ser>
        <c:dLbls>
          <c:dLblPos val="outEnd"/>
          <c:showLegendKey val="0"/>
          <c:showVal val="1"/>
          <c:showCatName val="0"/>
          <c:showSerName val="0"/>
          <c:showPercent val="0"/>
          <c:showBubbleSize val="0"/>
        </c:dLbls>
        <c:gapWidth val="25"/>
        <c:overlap val="100"/>
        <c:axId val="549497680"/>
        <c:axId val="1263561616"/>
      </c:barChart>
      <c:catAx>
        <c:axId val="549497680"/>
        <c:scaling>
          <c:orientation val="maxMin"/>
        </c:scaling>
        <c:delete val="1"/>
        <c:axPos val="l"/>
        <c:numFmt formatCode="General" sourceLinked="1"/>
        <c:majorTickMark val="out"/>
        <c:minorTickMark val="none"/>
        <c:tickLblPos val="nextTo"/>
        <c:crossAx val="1263561616"/>
        <c:crosses val="autoZero"/>
        <c:auto val="1"/>
        <c:lblAlgn val="ctr"/>
        <c:lblOffset val="100"/>
        <c:noMultiLvlLbl val="0"/>
      </c:catAx>
      <c:valAx>
        <c:axId val="1263561616"/>
        <c:scaling>
          <c:orientation val="minMax"/>
        </c:scaling>
        <c:delete val="1"/>
        <c:axPos val="t"/>
        <c:numFmt formatCode="\$#,###.#,\ &quot;k&quot;" sourceLinked="1"/>
        <c:majorTickMark val="out"/>
        <c:minorTickMark val="none"/>
        <c:tickLblPos val="nextTo"/>
        <c:crossAx val="549497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 dashboard.xlsx]Sheet1!PivotTable2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FFC000"/>
                </a:solidFill>
                <a:latin typeface="+mj-lt"/>
              </a:rPr>
              <a:t>Male</a:t>
            </a:r>
            <a:r>
              <a:rPr lang="en-IN" baseline="0"/>
              <a:t> Vs. </a:t>
            </a:r>
            <a:r>
              <a:rPr lang="en-IN" baseline="0">
                <a:solidFill>
                  <a:srgbClr val="C00000"/>
                </a:solidFill>
                <a:latin typeface="+mj-lt"/>
              </a:rPr>
              <a:t>Female</a:t>
            </a:r>
            <a:r>
              <a:rPr lang="en-IN" baseline="0"/>
              <a:t> Callers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rgbClr val="FFC000"/>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rgbClr val="C00000"/>
          </a:solidFill>
          <a:ln>
            <a:noFill/>
          </a:ln>
          <a:effectLst/>
        </c:spPr>
      </c:pivotFmt>
    </c:pivotFmts>
    <c:plotArea>
      <c:layout/>
      <c:barChart>
        <c:barDir val="col"/>
        <c:grouping val="percentStacked"/>
        <c:varyColors val="0"/>
        <c:ser>
          <c:idx val="0"/>
          <c:order val="0"/>
          <c:tx>
            <c:strRef>
              <c:f>Sheet1!$M$66:$M$67</c:f>
              <c:strCache>
                <c:ptCount val="1"/>
                <c:pt idx="0">
                  <c:v>Female</c:v>
                </c:pt>
              </c:strCache>
            </c:strRef>
          </c:tx>
          <c:spPr>
            <a:solidFill>
              <a:srgbClr val="C00000"/>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Sheet1!$L$68:$L$71</c:f>
              <c:strCache>
                <c:ptCount val="3"/>
                <c:pt idx="0">
                  <c:v>Cincinnati</c:v>
                </c:pt>
                <c:pt idx="1">
                  <c:v>Cleveland</c:v>
                </c:pt>
                <c:pt idx="2">
                  <c:v>Columbus</c:v>
                </c:pt>
              </c:strCache>
            </c:strRef>
          </c:cat>
          <c:val>
            <c:numRef>
              <c:f>Sheet1!$M$68:$M$71</c:f>
              <c:numCache>
                <c:formatCode>General</c:formatCode>
                <c:ptCount val="3"/>
                <c:pt idx="0">
                  <c:v>144</c:v>
                </c:pt>
                <c:pt idx="1">
                  <c:v>326</c:v>
                </c:pt>
                <c:pt idx="2">
                  <c:v>129</c:v>
                </c:pt>
              </c:numCache>
            </c:numRef>
          </c:val>
          <c:extLst>
            <c:ext xmlns:c16="http://schemas.microsoft.com/office/drawing/2014/chart" uri="{C3380CC4-5D6E-409C-BE32-E72D297353CC}">
              <c16:uniqueId val="{00000000-61B1-4404-B3C6-3BD5BCE25A22}"/>
            </c:ext>
          </c:extLst>
        </c:ser>
        <c:ser>
          <c:idx val="1"/>
          <c:order val="1"/>
          <c:tx>
            <c:strRef>
              <c:f>Sheet1!$N$66:$N$67</c:f>
              <c:strCache>
                <c:ptCount val="1"/>
                <c:pt idx="0">
                  <c:v>Male</c:v>
                </c:pt>
              </c:strCache>
            </c:strRef>
          </c:tx>
          <c:spPr>
            <a:solidFill>
              <a:srgbClr val="FFC000"/>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Sheet1!$L$68:$L$71</c:f>
              <c:strCache>
                <c:ptCount val="3"/>
                <c:pt idx="0">
                  <c:v>Cincinnati</c:v>
                </c:pt>
                <c:pt idx="1">
                  <c:v>Cleveland</c:v>
                </c:pt>
                <c:pt idx="2">
                  <c:v>Columbus</c:v>
                </c:pt>
              </c:strCache>
            </c:strRef>
          </c:cat>
          <c:val>
            <c:numRef>
              <c:f>Sheet1!$N$68:$N$71</c:f>
              <c:numCache>
                <c:formatCode>General</c:formatCode>
                <c:ptCount val="3"/>
                <c:pt idx="0">
                  <c:v>132</c:v>
                </c:pt>
                <c:pt idx="1">
                  <c:v>63</c:v>
                </c:pt>
                <c:pt idx="2">
                  <c:v>206</c:v>
                </c:pt>
              </c:numCache>
            </c:numRef>
          </c:val>
          <c:extLst>
            <c:ext xmlns:c16="http://schemas.microsoft.com/office/drawing/2014/chart" uri="{C3380CC4-5D6E-409C-BE32-E72D297353CC}">
              <c16:uniqueId val="{00000001-61B1-4404-B3C6-3BD5BCE25A22}"/>
            </c:ext>
          </c:extLst>
        </c:ser>
        <c:dLbls>
          <c:showLegendKey val="0"/>
          <c:showVal val="0"/>
          <c:showCatName val="0"/>
          <c:showSerName val="0"/>
          <c:showPercent val="0"/>
          <c:showBubbleSize val="0"/>
        </c:dLbls>
        <c:gapWidth val="25"/>
        <c:overlap val="100"/>
        <c:axId val="22906879"/>
        <c:axId val="1356163247"/>
      </c:barChart>
      <c:catAx>
        <c:axId val="229068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163247"/>
        <c:crosses val="autoZero"/>
        <c:auto val="1"/>
        <c:lblAlgn val="ctr"/>
        <c:lblOffset val="100"/>
        <c:noMultiLvlLbl val="0"/>
      </c:catAx>
      <c:valAx>
        <c:axId val="1356163247"/>
        <c:scaling>
          <c:orientation val="minMax"/>
        </c:scaling>
        <c:delete val="1"/>
        <c:axPos val="l"/>
        <c:numFmt formatCode="0%" sourceLinked="1"/>
        <c:majorTickMark val="out"/>
        <c:minorTickMark val="none"/>
        <c:tickLblPos val="nextTo"/>
        <c:crossAx val="2290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 dashboard.xlsx]Sheet1!PivotTable4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C00000"/>
                </a:solidFill>
                <a:latin typeface="+mj-lt"/>
              </a:rPr>
              <a:t>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52760024778919E-2"/>
          <c:y val="8.8652143834368785E-2"/>
          <c:w val="0.93888888888888888"/>
          <c:h val="0.77736111111111106"/>
        </c:manualLayout>
      </c:layout>
      <c:barChart>
        <c:barDir val="col"/>
        <c:grouping val="clustered"/>
        <c:varyColors val="0"/>
        <c:ser>
          <c:idx val="0"/>
          <c:order val="0"/>
          <c:tx>
            <c:strRef>
              <c:f>Sheet1!$C$87</c:f>
              <c:strCache>
                <c:ptCount val="1"/>
                <c:pt idx="0">
                  <c:v>Total</c:v>
                </c:pt>
              </c:strCache>
            </c:strRef>
          </c:tx>
          <c:spPr>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Sheet1!$B$88:$B$92</c:f>
              <c:strCache>
                <c:ptCount val="4"/>
                <c:pt idx="0">
                  <c:v>2</c:v>
                </c:pt>
                <c:pt idx="1">
                  <c:v>3</c:v>
                </c:pt>
                <c:pt idx="2">
                  <c:v>4</c:v>
                </c:pt>
                <c:pt idx="3">
                  <c:v>5</c:v>
                </c:pt>
              </c:strCache>
            </c:strRef>
          </c:cat>
          <c:val>
            <c:numRef>
              <c:f>Sheet1!$C$88:$C$92</c:f>
              <c:numCache>
                <c:formatCode>General</c:formatCode>
                <c:ptCount val="4"/>
                <c:pt idx="0">
                  <c:v>10</c:v>
                </c:pt>
                <c:pt idx="1">
                  <c:v>44</c:v>
                </c:pt>
                <c:pt idx="2">
                  <c:v>95</c:v>
                </c:pt>
                <c:pt idx="3">
                  <c:v>51</c:v>
                </c:pt>
              </c:numCache>
            </c:numRef>
          </c:val>
          <c:extLst>
            <c:ext xmlns:c16="http://schemas.microsoft.com/office/drawing/2014/chart" uri="{C3380CC4-5D6E-409C-BE32-E72D297353CC}">
              <c16:uniqueId val="{00000000-5150-48A9-9A22-AE27315B1872}"/>
            </c:ext>
          </c:extLst>
        </c:ser>
        <c:dLbls>
          <c:dLblPos val="outEnd"/>
          <c:showLegendKey val="0"/>
          <c:showVal val="1"/>
          <c:showCatName val="0"/>
          <c:showSerName val="0"/>
          <c:showPercent val="0"/>
          <c:showBubbleSize val="0"/>
        </c:dLbls>
        <c:gapWidth val="10"/>
        <c:overlap val="-27"/>
        <c:axId val="64246911"/>
        <c:axId val="152928879"/>
      </c:barChart>
      <c:catAx>
        <c:axId val="642469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28879"/>
        <c:crosses val="autoZero"/>
        <c:auto val="1"/>
        <c:lblAlgn val="ctr"/>
        <c:lblOffset val="100"/>
        <c:noMultiLvlLbl val="0"/>
      </c:catAx>
      <c:valAx>
        <c:axId val="152928879"/>
        <c:scaling>
          <c:orientation val="minMax"/>
        </c:scaling>
        <c:delete val="1"/>
        <c:axPos val="l"/>
        <c:numFmt formatCode="General" sourceLinked="1"/>
        <c:majorTickMark val="none"/>
        <c:minorTickMark val="none"/>
        <c:tickLblPos val="nextTo"/>
        <c:crossAx val="6424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13.svg"/><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sv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image" Target="../media/image16.png"/><Relationship Id="rId5" Type="http://schemas.openxmlformats.org/officeDocument/2006/relationships/image" Target="../media/image10.png"/><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s>
</file>

<file path=xl/drawings/_rels/drawing4.xml.rels><?xml version="1.0" encoding="UTF-8" standalone="yes"?>
<Relationships xmlns="http://schemas.openxmlformats.org/package/2006/relationships"><Relationship Id="rId8" Type="http://schemas.openxmlformats.org/officeDocument/2006/relationships/image" Target="../media/image25.svg"/><Relationship Id="rId13" Type="http://schemas.openxmlformats.org/officeDocument/2006/relationships/chart" Target="../charts/chart8.xml"/><Relationship Id="rId3" Type="http://schemas.openxmlformats.org/officeDocument/2006/relationships/image" Target="../media/image20.png"/><Relationship Id="rId7" Type="http://schemas.openxmlformats.org/officeDocument/2006/relationships/image" Target="../media/image24.png"/><Relationship Id="rId12" Type="http://schemas.openxmlformats.org/officeDocument/2006/relationships/chart" Target="../charts/chart7.xml"/><Relationship Id="rId2" Type="http://schemas.openxmlformats.org/officeDocument/2006/relationships/image" Target="../media/image19.svg"/><Relationship Id="rId16" Type="http://schemas.openxmlformats.org/officeDocument/2006/relationships/chart" Target="../charts/chart11.xml"/><Relationship Id="rId1" Type="http://schemas.openxmlformats.org/officeDocument/2006/relationships/image" Target="../media/image18.png"/><Relationship Id="rId6" Type="http://schemas.openxmlformats.org/officeDocument/2006/relationships/image" Target="../media/image23.svg"/><Relationship Id="rId11" Type="http://schemas.openxmlformats.org/officeDocument/2006/relationships/chart" Target="../charts/chart6.xml"/><Relationship Id="rId5" Type="http://schemas.openxmlformats.org/officeDocument/2006/relationships/image" Target="../media/image22.png"/><Relationship Id="rId15" Type="http://schemas.openxmlformats.org/officeDocument/2006/relationships/chart" Target="../charts/chart10.xml"/><Relationship Id="rId10" Type="http://schemas.openxmlformats.org/officeDocument/2006/relationships/image" Target="../media/image27.svg"/><Relationship Id="rId4" Type="http://schemas.openxmlformats.org/officeDocument/2006/relationships/image" Target="../media/image21.svg"/><Relationship Id="rId9" Type="http://schemas.openxmlformats.org/officeDocument/2006/relationships/image" Target="../media/image26.png"/><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5</xdr:col>
      <xdr:colOff>655320</xdr:colOff>
      <xdr:row>8</xdr:row>
      <xdr:rowOff>106681</xdr:rowOff>
    </xdr:from>
    <xdr:to>
      <xdr:col>8</xdr:col>
      <xdr:colOff>472440</xdr:colOff>
      <xdr:row>18</xdr:row>
      <xdr:rowOff>99061</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95311253-1657-3860-D72C-EA7079AE417E}"/>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5295900" y="1569721"/>
              <a:ext cx="1828800" cy="1821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102870</xdr:colOff>
      <xdr:row>18</xdr:row>
      <xdr:rowOff>133350</xdr:rowOff>
    </xdr:from>
    <xdr:to>
      <xdr:col>9</xdr:col>
      <xdr:colOff>662940</xdr:colOff>
      <xdr:row>29</xdr:row>
      <xdr:rowOff>175260</xdr:rowOff>
    </xdr:to>
    <xdr:graphicFrame macro="">
      <xdr:nvGraphicFramePr>
        <xdr:cNvPr id="3" name="Chart 2">
          <a:extLst>
            <a:ext uri="{FF2B5EF4-FFF2-40B4-BE49-F238E27FC236}">
              <a16:creationId xmlns:a16="http://schemas.microsoft.com/office/drawing/2014/main" id="{78021D5C-74BF-CD6E-4985-9CF8D3DB05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278130</xdr:colOff>
      <xdr:row>48</xdr:row>
      <xdr:rowOff>80010</xdr:rowOff>
    </xdr:from>
    <xdr:to>
      <xdr:col>13</xdr:col>
      <xdr:colOff>571500</xdr:colOff>
      <xdr:row>61</xdr:row>
      <xdr:rowOff>0</xdr:rowOff>
    </xdr:to>
    <xdr:graphicFrame macro="">
      <xdr:nvGraphicFramePr>
        <xdr:cNvPr id="4" name="Chart 3">
          <a:extLst>
            <a:ext uri="{FF2B5EF4-FFF2-40B4-BE49-F238E27FC236}">
              <a16:creationId xmlns:a16="http://schemas.microsoft.com/office/drawing/2014/main" id="{5089E21F-3153-D27B-91EB-86564814FB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521970</xdr:colOff>
      <xdr:row>48</xdr:row>
      <xdr:rowOff>87630</xdr:rowOff>
    </xdr:from>
    <xdr:to>
      <xdr:col>19</xdr:col>
      <xdr:colOff>0</xdr:colOff>
      <xdr:row>60</xdr:row>
      <xdr:rowOff>152400</xdr:rowOff>
    </xdr:to>
    <xdr:graphicFrame macro="">
      <xdr:nvGraphicFramePr>
        <xdr:cNvPr id="5" name="Chart 4">
          <a:extLst>
            <a:ext uri="{FF2B5EF4-FFF2-40B4-BE49-F238E27FC236}">
              <a16:creationId xmlns:a16="http://schemas.microsoft.com/office/drawing/2014/main" id="{AF51889A-DD92-048E-64CB-3B8B621795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148590</xdr:colOff>
      <xdr:row>58</xdr:row>
      <xdr:rowOff>163830</xdr:rowOff>
    </xdr:from>
    <xdr:to>
      <xdr:col>5</xdr:col>
      <xdr:colOff>781050</xdr:colOff>
      <xdr:row>73</xdr:row>
      <xdr:rowOff>163830</xdr:rowOff>
    </xdr:to>
    <xdr:graphicFrame macro="">
      <xdr:nvGraphicFramePr>
        <xdr:cNvPr id="2" name="Chart 1">
          <a:extLst>
            <a:ext uri="{FF2B5EF4-FFF2-40B4-BE49-F238E27FC236}">
              <a16:creationId xmlns:a16="http://schemas.microsoft.com/office/drawing/2014/main" id="{CCB6D34D-9DCF-A092-BB5E-0AF70C860D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407670</xdr:colOff>
      <xdr:row>80</xdr:row>
      <xdr:rowOff>102870</xdr:rowOff>
    </xdr:from>
    <xdr:to>
      <xdr:col>9</xdr:col>
      <xdr:colOff>689610</xdr:colOff>
      <xdr:row>95</xdr:row>
      <xdr:rowOff>102870</xdr:rowOff>
    </xdr:to>
    <xdr:graphicFrame macro="">
      <xdr:nvGraphicFramePr>
        <xdr:cNvPr id="6" name="Chart 5">
          <a:extLst>
            <a:ext uri="{FF2B5EF4-FFF2-40B4-BE49-F238E27FC236}">
              <a16:creationId xmlns:a16="http://schemas.microsoft.com/office/drawing/2014/main" id="{B549C8D2-4992-4D0D-ABFD-10936FB221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158302</xdr:colOff>
      <xdr:row>3</xdr:row>
      <xdr:rowOff>44490</xdr:rowOff>
    </xdr:from>
    <xdr:to>
      <xdr:col>3</xdr:col>
      <xdr:colOff>159485</xdr:colOff>
      <xdr:row>8</xdr:row>
      <xdr:rowOff>32237</xdr:rowOff>
    </xdr:to>
    <xdr:sp macro="" textlink="Sheet4!A4">
      <xdr:nvSpPr>
        <xdr:cNvPr id="3" name="Rectangle 2">
          <a:extLst>
            <a:ext uri="{FF2B5EF4-FFF2-40B4-BE49-F238E27FC236}">
              <a16:creationId xmlns:a16="http://schemas.microsoft.com/office/drawing/2014/main" id="{BBA90F13-0228-EEF9-7140-A0EFDE1B1E4F}"/>
            </a:ext>
          </a:extLst>
        </xdr:cNvPr>
        <xdr:cNvSpPr/>
      </xdr:nvSpPr>
      <xdr:spPr>
        <a:xfrm>
          <a:off x="362217" y="634772"/>
          <a:ext cx="1332000" cy="900000"/>
        </a:xfrm>
        <a:prstGeom prst="rect">
          <a:avLst/>
        </a:prstGeom>
        <a:solidFill>
          <a:srgbClr val="C00000"/>
        </a:solidFill>
        <a:ln>
          <a:noFill/>
        </a:ln>
        <a:effectLst>
          <a:outerShdw blurRad="50800" dist="38100" dir="2700000" algn="tl" rotWithShape="0">
            <a:prstClr val="black">
              <a:alpha val="40000"/>
            </a:prstClr>
          </a:outerShdw>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C225D3D-3B55-4167-A388-B4B8072DCB05}" type="TxLink">
            <a:rPr lang="en-US" sz="1600" b="0" i="0" u="none" strike="noStrike">
              <a:solidFill>
                <a:schemeClr val="bg2"/>
              </a:solidFill>
              <a:latin typeface="+mj-lt"/>
            </a:rPr>
            <a:pPr algn="ctr"/>
            <a:t>1,000</a:t>
          </a:fld>
          <a:endParaRPr lang="en-IN" sz="1600">
            <a:solidFill>
              <a:schemeClr val="bg2"/>
            </a:solidFill>
            <a:latin typeface="+mj-lt"/>
          </a:endParaRPr>
        </a:p>
      </xdr:txBody>
    </xdr:sp>
    <xdr:clientData/>
  </xdr:twoCellAnchor>
  <xdr:twoCellAnchor editAs="oneCell">
    <xdr:from>
      <xdr:col>1</xdr:col>
      <xdr:colOff>275608</xdr:colOff>
      <xdr:row>3</xdr:row>
      <xdr:rowOff>134370</xdr:rowOff>
    </xdr:from>
    <xdr:to>
      <xdr:col>1</xdr:col>
      <xdr:colOff>435628</xdr:colOff>
      <xdr:row>4</xdr:row>
      <xdr:rowOff>107627</xdr:rowOff>
    </xdr:to>
    <xdr:pic>
      <xdr:nvPicPr>
        <xdr:cNvPr id="4" name="Graphic 3" descr="Receiver with solid fill">
          <a:extLst>
            <a:ext uri="{FF2B5EF4-FFF2-40B4-BE49-F238E27FC236}">
              <a16:creationId xmlns:a16="http://schemas.microsoft.com/office/drawing/2014/main" id="{A99AD933-93AA-4741-BC43-98916EAC7C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9523" y="724652"/>
          <a:ext cx="160020" cy="155707"/>
        </a:xfrm>
        <a:prstGeom prst="rect">
          <a:avLst/>
        </a:prstGeom>
        <a:effectLst>
          <a:outerShdw blurRad="50800" dist="38100" dir="5400000" algn="t" rotWithShape="0">
            <a:prstClr val="black">
              <a:alpha val="40000"/>
            </a:prstClr>
          </a:outerShdw>
        </a:effectLst>
      </xdr:spPr>
    </xdr:pic>
    <xdr:clientData/>
  </xdr:twoCellAnchor>
  <xdr:twoCellAnchor>
    <xdr:from>
      <xdr:col>1</xdr:col>
      <xdr:colOff>573156</xdr:colOff>
      <xdr:row>3</xdr:row>
      <xdr:rowOff>110567</xdr:rowOff>
    </xdr:from>
    <xdr:to>
      <xdr:col>2</xdr:col>
      <xdr:colOff>443616</xdr:colOff>
      <xdr:row>4</xdr:row>
      <xdr:rowOff>148668</xdr:rowOff>
    </xdr:to>
    <xdr:sp macro="" textlink="">
      <xdr:nvSpPr>
        <xdr:cNvPr id="6" name="TextBox 5">
          <a:extLst>
            <a:ext uri="{FF2B5EF4-FFF2-40B4-BE49-F238E27FC236}">
              <a16:creationId xmlns:a16="http://schemas.microsoft.com/office/drawing/2014/main" id="{24103F4D-F68D-3C75-8FEE-F23B53AE6961}"/>
            </a:ext>
          </a:extLst>
        </xdr:cNvPr>
        <xdr:cNvSpPr txBox="1"/>
      </xdr:nvSpPr>
      <xdr:spPr>
        <a:xfrm>
          <a:off x="777071" y="700849"/>
          <a:ext cx="535869" cy="220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2"/>
              </a:solidFill>
              <a:latin typeface="+mj-lt"/>
            </a:rPr>
            <a:t>Calls</a:t>
          </a:r>
        </a:p>
      </xdr:txBody>
    </xdr:sp>
    <xdr:clientData/>
  </xdr:twoCellAnchor>
  <xdr:twoCellAnchor>
    <xdr:from>
      <xdr:col>1</xdr:col>
      <xdr:colOff>619530</xdr:colOff>
      <xdr:row>6</xdr:row>
      <xdr:rowOff>89889</xdr:rowOff>
    </xdr:from>
    <xdr:to>
      <xdr:col>2</xdr:col>
      <xdr:colOff>390930</xdr:colOff>
      <xdr:row>7</xdr:row>
      <xdr:rowOff>180900</xdr:rowOff>
    </xdr:to>
    <xdr:sp macro="" textlink="Sheet4!A17">
      <xdr:nvSpPr>
        <xdr:cNvPr id="7" name="TextBox 6">
          <a:extLst>
            <a:ext uri="{FF2B5EF4-FFF2-40B4-BE49-F238E27FC236}">
              <a16:creationId xmlns:a16="http://schemas.microsoft.com/office/drawing/2014/main" id="{0E149056-C7C1-B3B2-44E1-893AB91217C8}"/>
            </a:ext>
          </a:extLst>
        </xdr:cNvPr>
        <xdr:cNvSpPr txBox="1"/>
      </xdr:nvSpPr>
      <xdr:spPr>
        <a:xfrm>
          <a:off x="823445" y="1227523"/>
          <a:ext cx="436809" cy="273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98B925-82A6-43CA-B1CB-43AF368A760B}" type="TxLink">
            <a:rPr lang="en-US" sz="1100" b="0" i="0" u="none" strike="noStrike">
              <a:ln>
                <a:noFill/>
              </a:ln>
              <a:solidFill>
                <a:schemeClr val="bg2"/>
              </a:solidFill>
              <a:latin typeface="Aptos"/>
            </a:rPr>
            <a:pPr algn="ctr"/>
            <a:t>200</a:t>
          </a:fld>
          <a:endParaRPr lang="en-IN" sz="1100">
            <a:ln>
              <a:noFill/>
            </a:ln>
            <a:solidFill>
              <a:schemeClr val="bg2"/>
            </a:solidFill>
          </a:endParaRPr>
        </a:p>
      </xdr:txBody>
    </xdr:sp>
    <xdr:clientData/>
  </xdr:twoCellAnchor>
  <xdr:twoCellAnchor>
    <xdr:from>
      <xdr:col>1</xdr:col>
      <xdr:colOff>129988</xdr:colOff>
      <xdr:row>11</xdr:row>
      <xdr:rowOff>17410</xdr:rowOff>
    </xdr:from>
    <xdr:to>
      <xdr:col>3</xdr:col>
      <xdr:colOff>131171</xdr:colOff>
      <xdr:row>16</xdr:row>
      <xdr:rowOff>5156</xdr:rowOff>
    </xdr:to>
    <xdr:sp macro="" textlink="Sheet4!B4">
      <xdr:nvSpPr>
        <xdr:cNvPr id="9" name="Rectangle 8">
          <a:extLst>
            <a:ext uri="{FF2B5EF4-FFF2-40B4-BE49-F238E27FC236}">
              <a16:creationId xmlns:a16="http://schemas.microsoft.com/office/drawing/2014/main" id="{FCE77F38-BC68-4CF0-A5B3-FC568507C63B}"/>
            </a:ext>
          </a:extLst>
        </xdr:cNvPr>
        <xdr:cNvSpPr/>
      </xdr:nvSpPr>
      <xdr:spPr>
        <a:xfrm>
          <a:off x="333903" y="2067297"/>
          <a:ext cx="1332000" cy="900000"/>
        </a:xfrm>
        <a:prstGeom prst="rect">
          <a:avLst/>
        </a:prstGeom>
        <a:solidFill>
          <a:srgbClr val="C00000"/>
        </a:solidFill>
        <a:ln>
          <a:noFill/>
        </a:ln>
        <a:effectLst>
          <a:outerShdw blurRad="50800" dist="38100" dir="2700000" algn="tl" rotWithShape="0">
            <a:prstClr val="black">
              <a:alpha val="40000"/>
            </a:prstClr>
          </a:outerShdw>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D2D4281-160D-4EA3-8DA3-84FE99645D8E}" type="TxLink">
            <a:rPr lang="en-US" sz="1600" b="0" i="0" u="none" strike="noStrike">
              <a:solidFill>
                <a:schemeClr val="bg2"/>
              </a:solidFill>
              <a:latin typeface="+mj-lt"/>
            </a:rPr>
            <a:pPr algn="ctr"/>
            <a:t>$96,623</a:t>
          </a:fld>
          <a:endParaRPr lang="en-US" sz="1600">
            <a:solidFill>
              <a:schemeClr val="bg2"/>
            </a:solidFill>
            <a:latin typeface="+mj-lt"/>
          </a:endParaRPr>
        </a:p>
      </xdr:txBody>
    </xdr:sp>
    <xdr:clientData/>
  </xdr:twoCellAnchor>
  <xdr:twoCellAnchor editAs="oneCell">
    <xdr:from>
      <xdr:col>1</xdr:col>
      <xdr:colOff>243780</xdr:colOff>
      <xdr:row>11</xdr:row>
      <xdr:rowOff>132976</xdr:rowOff>
    </xdr:from>
    <xdr:to>
      <xdr:col>1</xdr:col>
      <xdr:colOff>396835</xdr:colOff>
      <xdr:row>12</xdr:row>
      <xdr:rowOff>106233</xdr:rowOff>
    </xdr:to>
    <xdr:pic>
      <xdr:nvPicPr>
        <xdr:cNvPr id="10" name="Graphic 9">
          <a:extLst>
            <a:ext uri="{FF2B5EF4-FFF2-40B4-BE49-F238E27FC236}">
              <a16:creationId xmlns:a16="http://schemas.microsoft.com/office/drawing/2014/main" id="{DEE04DCD-FD13-4CD7-868F-13BC8A60C6F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447695" y="2182863"/>
          <a:ext cx="153055" cy="155708"/>
        </a:xfrm>
        <a:prstGeom prst="rect">
          <a:avLst/>
        </a:prstGeom>
        <a:effectLst>
          <a:outerShdw blurRad="50800" dist="38100" dir="5400000" algn="t" rotWithShape="0">
            <a:prstClr val="black">
              <a:alpha val="40000"/>
            </a:prstClr>
          </a:outerShdw>
        </a:effectLst>
      </xdr:spPr>
    </xdr:pic>
    <xdr:clientData/>
  </xdr:twoCellAnchor>
  <xdr:twoCellAnchor>
    <xdr:from>
      <xdr:col>1</xdr:col>
      <xdr:colOff>449937</xdr:colOff>
      <xdr:row>11</xdr:row>
      <xdr:rowOff>89880</xdr:rowOff>
    </xdr:from>
    <xdr:to>
      <xdr:col>2</xdr:col>
      <xdr:colOff>550367</xdr:colOff>
      <xdr:row>12</xdr:row>
      <xdr:rowOff>130718</xdr:rowOff>
    </xdr:to>
    <xdr:sp macro="" textlink="">
      <xdr:nvSpPr>
        <xdr:cNvPr id="11" name="TextBox 10">
          <a:extLst>
            <a:ext uri="{FF2B5EF4-FFF2-40B4-BE49-F238E27FC236}">
              <a16:creationId xmlns:a16="http://schemas.microsoft.com/office/drawing/2014/main" id="{4BBCC6F0-9DAB-4DB6-AD44-63EB8B9A752D}"/>
            </a:ext>
          </a:extLst>
        </xdr:cNvPr>
        <xdr:cNvSpPr txBox="1"/>
      </xdr:nvSpPr>
      <xdr:spPr>
        <a:xfrm>
          <a:off x="653852" y="2139767"/>
          <a:ext cx="765839" cy="223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chemeClr val="bg2"/>
              </a:solidFill>
              <a:latin typeface="+mj-lt"/>
            </a:rPr>
            <a:t>Amount</a:t>
          </a:r>
        </a:p>
        <a:p>
          <a:endParaRPr lang="en-IN" sz="900">
            <a:solidFill>
              <a:schemeClr val="bg2"/>
            </a:solidFill>
          </a:endParaRPr>
        </a:p>
      </xdr:txBody>
    </xdr:sp>
    <xdr:clientData/>
  </xdr:twoCellAnchor>
  <xdr:twoCellAnchor>
    <xdr:from>
      <xdr:col>1</xdr:col>
      <xdr:colOff>408764</xdr:colOff>
      <xdr:row>14</xdr:row>
      <xdr:rowOff>32782</xdr:rowOff>
    </xdr:from>
    <xdr:to>
      <xdr:col>2</xdr:col>
      <xdr:colOff>537705</xdr:colOff>
      <xdr:row>15</xdr:row>
      <xdr:rowOff>106841</xdr:rowOff>
    </xdr:to>
    <xdr:sp macro="" textlink="Sheet4!B17">
      <xdr:nvSpPr>
        <xdr:cNvPr id="12" name="TextBox 11">
          <a:extLst>
            <a:ext uri="{FF2B5EF4-FFF2-40B4-BE49-F238E27FC236}">
              <a16:creationId xmlns:a16="http://schemas.microsoft.com/office/drawing/2014/main" id="{AE03D52F-6FD7-4BE6-A406-EBE0B6397CBC}"/>
            </a:ext>
          </a:extLst>
        </xdr:cNvPr>
        <xdr:cNvSpPr txBox="1"/>
      </xdr:nvSpPr>
      <xdr:spPr>
        <a:xfrm>
          <a:off x="612679" y="2630021"/>
          <a:ext cx="794350" cy="256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F371CB-A759-4786-9CCE-6048C4C79C43}" type="TxLink">
            <a:rPr lang="en-US" sz="1100" b="0" i="0" u="none" strike="noStrike">
              <a:ln>
                <a:noFill/>
              </a:ln>
              <a:solidFill>
                <a:schemeClr val="bg2">
                  <a:lumMod val="90000"/>
                </a:schemeClr>
              </a:solidFill>
              <a:latin typeface="Aptos"/>
            </a:rPr>
            <a:pPr algn="ctr"/>
            <a:t>$20,104</a:t>
          </a:fld>
          <a:endParaRPr lang="en-IN" sz="1100">
            <a:ln>
              <a:noFill/>
            </a:ln>
            <a:solidFill>
              <a:schemeClr val="bg2">
                <a:lumMod val="90000"/>
              </a:schemeClr>
            </a:solidFill>
          </a:endParaRPr>
        </a:p>
      </xdr:txBody>
    </xdr:sp>
    <xdr:clientData/>
  </xdr:twoCellAnchor>
  <xdr:twoCellAnchor>
    <xdr:from>
      <xdr:col>1</xdr:col>
      <xdr:colOff>127871</xdr:colOff>
      <xdr:row>18</xdr:row>
      <xdr:rowOff>64670</xdr:rowOff>
    </xdr:from>
    <xdr:to>
      <xdr:col>3</xdr:col>
      <xdr:colOff>129054</xdr:colOff>
      <xdr:row>23</xdr:row>
      <xdr:rowOff>52416</xdr:rowOff>
    </xdr:to>
    <xdr:sp macro="" textlink="Sheet4!C4">
      <xdr:nvSpPr>
        <xdr:cNvPr id="13" name="Rectangle 12">
          <a:extLst>
            <a:ext uri="{FF2B5EF4-FFF2-40B4-BE49-F238E27FC236}">
              <a16:creationId xmlns:a16="http://schemas.microsoft.com/office/drawing/2014/main" id="{0037458A-2BB9-4AD6-8264-B8DD064DA12D}"/>
            </a:ext>
          </a:extLst>
        </xdr:cNvPr>
        <xdr:cNvSpPr/>
      </xdr:nvSpPr>
      <xdr:spPr>
        <a:xfrm>
          <a:off x="334515" y="3835924"/>
          <a:ext cx="1344370" cy="891814"/>
        </a:xfrm>
        <a:prstGeom prst="rect">
          <a:avLst/>
        </a:prstGeom>
        <a:solidFill>
          <a:srgbClr val="C00000"/>
        </a:solidFill>
        <a:ln>
          <a:noFill/>
        </a:ln>
        <a:effectLst>
          <a:outerShdw blurRad="50800" dist="38100" dir="2700000" algn="tl" rotWithShape="0">
            <a:prstClr val="black">
              <a:alpha val="40000"/>
            </a:prstClr>
          </a:outerShdw>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CCFC97D-FD9B-4B8F-B05F-8CD8C599DC7E}" type="TxLink">
            <a:rPr lang="en-US" sz="1600" b="0" i="0" u="none" strike="noStrike">
              <a:solidFill>
                <a:schemeClr val="bg2"/>
              </a:solidFill>
              <a:latin typeface="+mj-lt"/>
            </a:rPr>
            <a:pPr algn="ctr"/>
            <a:t>89,850</a:t>
          </a:fld>
          <a:endParaRPr lang="en-IN" sz="1600">
            <a:solidFill>
              <a:schemeClr val="bg2"/>
            </a:solidFill>
            <a:latin typeface="+mj-lt"/>
          </a:endParaRPr>
        </a:p>
      </xdr:txBody>
    </xdr:sp>
    <xdr:clientData/>
  </xdr:twoCellAnchor>
  <xdr:twoCellAnchor editAs="oneCell">
    <xdr:from>
      <xdr:col>1</xdr:col>
      <xdr:colOff>216092</xdr:colOff>
      <xdr:row>18</xdr:row>
      <xdr:rowOff>145425</xdr:rowOff>
    </xdr:from>
    <xdr:to>
      <xdr:col>1</xdr:col>
      <xdr:colOff>369146</xdr:colOff>
      <xdr:row>19</xdr:row>
      <xdr:rowOff>118681</xdr:rowOff>
    </xdr:to>
    <xdr:pic>
      <xdr:nvPicPr>
        <xdr:cNvPr id="14" name="Graphic 13">
          <a:extLst>
            <a:ext uri="{FF2B5EF4-FFF2-40B4-BE49-F238E27FC236}">
              <a16:creationId xmlns:a16="http://schemas.microsoft.com/office/drawing/2014/main" id="{D6BB7286-4FC2-423C-8C36-F45044804A7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0007" y="3472467"/>
          <a:ext cx="153054" cy="155707"/>
        </a:xfrm>
        <a:prstGeom prst="rect">
          <a:avLst/>
        </a:prstGeom>
        <a:effectLst>
          <a:outerShdw blurRad="50800" dist="38100" dir="5400000" algn="t" rotWithShape="0">
            <a:prstClr val="black">
              <a:alpha val="40000"/>
            </a:prstClr>
          </a:outerShdw>
        </a:effectLst>
      </xdr:spPr>
    </xdr:pic>
    <xdr:clientData/>
  </xdr:twoCellAnchor>
  <xdr:twoCellAnchor>
    <xdr:from>
      <xdr:col>1</xdr:col>
      <xdr:colOff>413806</xdr:colOff>
      <xdr:row>18</xdr:row>
      <xdr:rowOff>102330</xdr:rowOff>
    </xdr:from>
    <xdr:to>
      <xdr:col>3</xdr:col>
      <xdr:colOff>64394</xdr:colOff>
      <xdr:row>19</xdr:row>
      <xdr:rowOff>139521</xdr:rowOff>
    </xdr:to>
    <xdr:sp macro="" textlink="">
      <xdr:nvSpPr>
        <xdr:cNvPr id="15" name="TextBox 14">
          <a:extLst>
            <a:ext uri="{FF2B5EF4-FFF2-40B4-BE49-F238E27FC236}">
              <a16:creationId xmlns:a16="http://schemas.microsoft.com/office/drawing/2014/main" id="{59B1FCB0-4F8D-4C8B-9EAC-B253FFE01142}"/>
            </a:ext>
          </a:extLst>
        </xdr:cNvPr>
        <xdr:cNvSpPr txBox="1"/>
      </xdr:nvSpPr>
      <xdr:spPr>
        <a:xfrm>
          <a:off x="617721" y="3429372"/>
          <a:ext cx="981405" cy="219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2"/>
              </a:solidFill>
              <a:latin typeface="+mj-lt"/>
            </a:rPr>
            <a:t>Duration</a:t>
          </a:r>
        </a:p>
        <a:p>
          <a:endParaRPr lang="en-IN" sz="1100">
            <a:solidFill>
              <a:schemeClr val="bg2"/>
            </a:solidFill>
            <a:latin typeface="+mj-lt"/>
          </a:endParaRPr>
        </a:p>
        <a:p>
          <a:endParaRPr lang="en-IN" sz="1100">
            <a:solidFill>
              <a:schemeClr val="bg2"/>
            </a:solidFill>
          </a:endParaRPr>
        </a:p>
      </xdr:txBody>
    </xdr:sp>
    <xdr:clientData/>
  </xdr:twoCellAnchor>
  <xdr:twoCellAnchor>
    <xdr:from>
      <xdr:col>1</xdr:col>
      <xdr:colOff>385295</xdr:colOff>
      <xdr:row>21</xdr:row>
      <xdr:rowOff>92383</xdr:rowOff>
    </xdr:from>
    <xdr:to>
      <xdr:col>2</xdr:col>
      <xdr:colOff>456187</xdr:colOff>
      <xdr:row>22</xdr:row>
      <xdr:rowOff>162675</xdr:rowOff>
    </xdr:to>
    <xdr:sp macro="" textlink="Sheet4!C17">
      <xdr:nvSpPr>
        <xdr:cNvPr id="16" name="TextBox 15">
          <a:extLst>
            <a:ext uri="{FF2B5EF4-FFF2-40B4-BE49-F238E27FC236}">
              <a16:creationId xmlns:a16="http://schemas.microsoft.com/office/drawing/2014/main" id="{8A01947E-F8AC-40F2-B30C-D514D3EE5825}"/>
            </a:ext>
          </a:extLst>
        </xdr:cNvPr>
        <xdr:cNvSpPr txBox="1"/>
      </xdr:nvSpPr>
      <xdr:spPr>
        <a:xfrm>
          <a:off x="589210" y="3966777"/>
          <a:ext cx="736301" cy="252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ADC885-8B67-4BEB-9B0C-B67CB9159320}" type="TxLink">
            <a:rPr lang="en-US" sz="1100" b="0" i="0" u="none" strike="noStrike">
              <a:ln>
                <a:noFill/>
              </a:ln>
              <a:solidFill>
                <a:schemeClr val="bg2">
                  <a:lumMod val="90000"/>
                </a:schemeClr>
              </a:solidFill>
              <a:latin typeface="+mn-lt"/>
            </a:rPr>
            <a:pPr algn="ctr"/>
            <a:t>18,209</a:t>
          </a:fld>
          <a:endParaRPr lang="en-IN" sz="1100">
            <a:ln>
              <a:noFill/>
            </a:ln>
            <a:solidFill>
              <a:schemeClr val="bg2">
                <a:lumMod val="90000"/>
              </a:schemeClr>
            </a:solidFill>
            <a:latin typeface="+mn-lt"/>
          </a:endParaRPr>
        </a:p>
      </xdr:txBody>
    </xdr:sp>
    <xdr:clientData/>
  </xdr:twoCellAnchor>
  <xdr:twoCellAnchor>
    <xdr:from>
      <xdr:col>1</xdr:col>
      <xdr:colOff>148083</xdr:colOff>
      <xdr:row>26</xdr:row>
      <xdr:rowOff>37406</xdr:rowOff>
    </xdr:from>
    <xdr:to>
      <xdr:col>3</xdr:col>
      <xdr:colOff>149266</xdr:colOff>
      <xdr:row>31</xdr:row>
      <xdr:rowOff>25153</xdr:rowOff>
    </xdr:to>
    <xdr:sp macro="" textlink="Sheet4!D4">
      <xdr:nvSpPr>
        <xdr:cNvPr id="17" name="Rectangle 16">
          <a:extLst>
            <a:ext uri="{FF2B5EF4-FFF2-40B4-BE49-F238E27FC236}">
              <a16:creationId xmlns:a16="http://schemas.microsoft.com/office/drawing/2014/main" id="{F8A91F24-BC62-4D3A-A40F-74CB7F355606}"/>
            </a:ext>
          </a:extLst>
        </xdr:cNvPr>
        <xdr:cNvSpPr/>
      </xdr:nvSpPr>
      <xdr:spPr>
        <a:xfrm>
          <a:off x="351998" y="4824054"/>
          <a:ext cx="1332000" cy="900000"/>
        </a:xfrm>
        <a:prstGeom prst="rect">
          <a:avLst/>
        </a:prstGeom>
        <a:solidFill>
          <a:srgbClr val="C00000"/>
        </a:solidFill>
        <a:ln>
          <a:noFill/>
        </a:ln>
        <a:effectLst>
          <a:outerShdw blurRad="50800" dist="38100" dir="2700000" algn="tl" rotWithShape="0">
            <a:prstClr val="black">
              <a:alpha val="40000"/>
            </a:prstClr>
          </a:outerShdw>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54C6A1D-DA24-4283-B9CB-440F1FAD28DC}" type="TxLink">
            <a:rPr lang="en-US" sz="1600" b="0" i="0" u="none" strike="noStrike">
              <a:solidFill>
                <a:schemeClr val="bg2"/>
              </a:solidFill>
              <a:latin typeface="+mj-lt"/>
            </a:rPr>
            <a:pPr algn="ctr"/>
            <a:t>3.9</a:t>
          </a:fld>
          <a:endParaRPr lang="en-IN" sz="1600">
            <a:solidFill>
              <a:schemeClr val="bg2"/>
            </a:solidFill>
            <a:latin typeface="+mj-lt"/>
          </a:endParaRPr>
        </a:p>
      </xdr:txBody>
    </xdr:sp>
    <xdr:clientData/>
  </xdr:twoCellAnchor>
  <xdr:twoCellAnchor editAs="oneCell">
    <xdr:from>
      <xdr:col>1</xdr:col>
      <xdr:colOff>272866</xdr:colOff>
      <xdr:row>26</xdr:row>
      <xdr:rowOff>71694</xdr:rowOff>
    </xdr:from>
    <xdr:to>
      <xdr:col>1</xdr:col>
      <xdr:colOff>503006</xdr:colOff>
      <xdr:row>27</xdr:row>
      <xdr:rowOff>122035</xdr:rowOff>
    </xdr:to>
    <xdr:pic>
      <xdr:nvPicPr>
        <xdr:cNvPr id="18" name="Graphic 17">
          <a:extLst>
            <a:ext uri="{FF2B5EF4-FFF2-40B4-BE49-F238E27FC236}">
              <a16:creationId xmlns:a16="http://schemas.microsoft.com/office/drawing/2014/main" id="{A0C55952-D430-4739-87A3-E420A7A68A1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476781" y="4858342"/>
          <a:ext cx="230140" cy="232792"/>
        </a:xfrm>
        <a:prstGeom prst="rect">
          <a:avLst/>
        </a:prstGeom>
        <a:effectLst>
          <a:outerShdw blurRad="50800" dist="38100" dir="5400000" algn="t" rotWithShape="0">
            <a:prstClr val="black">
              <a:alpha val="40000"/>
            </a:prstClr>
          </a:outerShdw>
        </a:effectLst>
      </xdr:spPr>
    </xdr:pic>
    <xdr:clientData/>
  </xdr:twoCellAnchor>
  <xdr:twoCellAnchor>
    <xdr:from>
      <xdr:col>1</xdr:col>
      <xdr:colOff>451407</xdr:colOff>
      <xdr:row>26</xdr:row>
      <xdr:rowOff>79848</xdr:rowOff>
    </xdr:from>
    <xdr:to>
      <xdr:col>3</xdr:col>
      <xdr:colOff>24360</xdr:colOff>
      <xdr:row>27</xdr:row>
      <xdr:rowOff>111183</xdr:rowOff>
    </xdr:to>
    <xdr:sp macro="" textlink="">
      <xdr:nvSpPr>
        <xdr:cNvPr id="19" name="TextBox 18">
          <a:extLst>
            <a:ext uri="{FF2B5EF4-FFF2-40B4-BE49-F238E27FC236}">
              <a16:creationId xmlns:a16="http://schemas.microsoft.com/office/drawing/2014/main" id="{5BD973A5-25C9-425D-BFD6-930D67FFFAC0}"/>
            </a:ext>
          </a:extLst>
        </xdr:cNvPr>
        <xdr:cNvSpPr txBox="1"/>
      </xdr:nvSpPr>
      <xdr:spPr>
        <a:xfrm>
          <a:off x="655322" y="4866496"/>
          <a:ext cx="903770" cy="213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2"/>
              </a:solidFill>
              <a:latin typeface="+mj-lt"/>
            </a:rPr>
            <a:t>Avg</a:t>
          </a:r>
          <a:r>
            <a:rPr lang="en-IN" sz="1100">
              <a:solidFill>
                <a:schemeClr val="bg2"/>
              </a:solidFill>
            </a:rPr>
            <a:t>.</a:t>
          </a:r>
          <a:r>
            <a:rPr lang="en-IN" sz="1100">
              <a:solidFill>
                <a:schemeClr val="bg2"/>
              </a:solidFill>
              <a:latin typeface="+mj-lt"/>
            </a:rPr>
            <a:t>Rating</a:t>
          </a:r>
        </a:p>
      </xdr:txBody>
    </xdr:sp>
    <xdr:clientData/>
  </xdr:twoCellAnchor>
  <xdr:twoCellAnchor>
    <xdr:from>
      <xdr:col>1</xdr:col>
      <xdr:colOff>591841</xdr:colOff>
      <xdr:row>29</xdr:row>
      <xdr:rowOff>72554</xdr:rowOff>
    </xdr:from>
    <xdr:to>
      <xdr:col>2</xdr:col>
      <xdr:colOff>363241</xdr:colOff>
      <xdr:row>30</xdr:row>
      <xdr:rowOff>160910</xdr:rowOff>
    </xdr:to>
    <xdr:sp macro="" textlink="Sheet4!D17">
      <xdr:nvSpPr>
        <xdr:cNvPr id="20" name="TextBox 19">
          <a:extLst>
            <a:ext uri="{FF2B5EF4-FFF2-40B4-BE49-F238E27FC236}">
              <a16:creationId xmlns:a16="http://schemas.microsoft.com/office/drawing/2014/main" id="{C201EE65-B3BF-4A14-B38E-3D4290EA3A5F}"/>
            </a:ext>
          </a:extLst>
        </xdr:cNvPr>
        <xdr:cNvSpPr txBox="1"/>
      </xdr:nvSpPr>
      <xdr:spPr>
        <a:xfrm>
          <a:off x="795756" y="5406554"/>
          <a:ext cx="436809" cy="270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2031C3-6A41-430A-A4E0-A99D91308F6E}" type="TxLink">
            <a:rPr lang="en-US" sz="1100" b="0" i="0" u="none" strike="noStrike">
              <a:ln>
                <a:noFill/>
              </a:ln>
              <a:solidFill>
                <a:schemeClr val="bg2"/>
              </a:solidFill>
              <a:latin typeface="Aptos"/>
            </a:rPr>
            <a:pPr algn="ctr"/>
            <a:t>3.9</a:t>
          </a:fld>
          <a:endParaRPr lang="en-IN" sz="1100">
            <a:ln>
              <a:noFill/>
            </a:ln>
            <a:solidFill>
              <a:schemeClr val="bg2"/>
            </a:solidFill>
          </a:endParaRPr>
        </a:p>
      </xdr:txBody>
    </xdr:sp>
    <xdr:clientData/>
  </xdr:twoCellAnchor>
  <xdr:twoCellAnchor>
    <xdr:from>
      <xdr:col>1</xdr:col>
      <xdr:colOff>122278</xdr:colOff>
      <xdr:row>33</xdr:row>
      <xdr:rowOff>135179</xdr:rowOff>
    </xdr:from>
    <xdr:to>
      <xdr:col>3</xdr:col>
      <xdr:colOff>111091</xdr:colOff>
      <xdr:row>37</xdr:row>
      <xdr:rowOff>156942</xdr:rowOff>
    </xdr:to>
    <xdr:sp macro="" textlink="Sheet4!E4">
      <xdr:nvSpPr>
        <xdr:cNvPr id="21" name="Rectangle 20">
          <a:extLst>
            <a:ext uri="{FF2B5EF4-FFF2-40B4-BE49-F238E27FC236}">
              <a16:creationId xmlns:a16="http://schemas.microsoft.com/office/drawing/2014/main" id="{7045B145-996C-4E1B-A5D6-33B62292623C}"/>
            </a:ext>
          </a:extLst>
        </xdr:cNvPr>
        <xdr:cNvSpPr/>
      </xdr:nvSpPr>
      <xdr:spPr>
        <a:xfrm>
          <a:off x="328922" y="6618637"/>
          <a:ext cx="1332000" cy="900000"/>
        </a:xfrm>
        <a:prstGeom prst="rect">
          <a:avLst/>
        </a:prstGeom>
        <a:solidFill>
          <a:srgbClr val="C00000"/>
        </a:solidFill>
        <a:ln>
          <a:noFill/>
        </a:ln>
        <a:effectLst>
          <a:outerShdw blurRad="50800" dist="38100" dir="2700000" algn="tl" rotWithShape="0">
            <a:prstClr val="black">
              <a:alpha val="40000"/>
            </a:prstClr>
          </a:outerShdw>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F609AD1-1F96-4FFF-9F1B-AFAC6F44D415}" type="TxLink">
            <a:rPr lang="en-US" sz="1600" b="0" i="0" u="none" strike="noStrike">
              <a:solidFill>
                <a:schemeClr val="bg2"/>
              </a:solidFill>
              <a:latin typeface="+mj-lt"/>
            </a:rPr>
            <a:pPr algn="ctr"/>
            <a:t>307</a:t>
          </a:fld>
          <a:endParaRPr lang="en-IN" sz="1600">
            <a:solidFill>
              <a:schemeClr val="bg2"/>
            </a:solidFill>
            <a:latin typeface="+mj-lt"/>
          </a:endParaRPr>
        </a:p>
      </xdr:txBody>
    </xdr:sp>
    <xdr:clientData/>
  </xdr:twoCellAnchor>
  <xdr:twoCellAnchor editAs="oneCell">
    <xdr:from>
      <xdr:col>1</xdr:col>
      <xdr:colOff>201924</xdr:colOff>
      <xdr:row>34</xdr:row>
      <xdr:rowOff>20961</xdr:rowOff>
    </xdr:from>
    <xdr:to>
      <xdr:col>1</xdr:col>
      <xdr:colOff>354978</xdr:colOff>
      <xdr:row>34</xdr:row>
      <xdr:rowOff>175032</xdr:rowOff>
    </xdr:to>
    <xdr:pic>
      <xdr:nvPicPr>
        <xdr:cNvPr id="22" name="Graphic 21">
          <a:extLst>
            <a:ext uri="{FF2B5EF4-FFF2-40B4-BE49-F238E27FC236}">
              <a16:creationId xmlns:a16="http://schemas.microsoft.com/office/drawing/2014/main" id="{D677569E-D986-4207-B69D-A311A9608AB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408568" y="6685232"/>
          <a:ext cx="153054" cy="154071"/>
        </a:xfrm>
        <a:prstGeom prst="rect">
          <a:avLst/>
        </a:prstGeom>
        <a:effectLst>
          <a:outerShdw blurRad="50800" dist="38100" dir="5400000" algn="t" rotWithShape="0">
            <a:prstClr val="black">
              <a:alpha val="40000"/>
            </a:prstClr>
          </a:outerShdw>
        </a:effectLst>
      </xdr:spPr>
    </xdr:pic>
    <xdr:clientData/>
  </xdr:twoCellAnchor>
  <xdr:twoCellAnchor>
    <xdr:from>
      <xdr:col>1</xdr:col>
      <xdr:colOff>440674</xdr:colOff>
      <xdr:row>34</xdr:row>
      <xdr:rowOff>3719</xdr:rowOff>
    </xdr:from>
    <xdr:to>
      <xdr:col>2</xdr:col>
      <xdr:colOff>567731</xdr:colOff>
      <xdr:row>35</xdr:row>
      <xdr:rowOff>51238</xdr:rowOff>
    </xdr:to>
    <xdr:sp macro="" textlink="">
      <xdr:nvSpPr>
        <xdr:cNvPr id="23" name="TextBox 22">
          <a:extLst>
            <a:ext uri="{FF2B5EF4-FFF2-40B4-BE49-F238E27FC236}">
              <a16:creationId xmlns:a16="http://schemas.microsoft.com/office/drawing/2014/main" id="{F8BD0EEF-742A-454B-B5DC-210492A2AACE}"/>
            </a:ext>
          </a:extLst>
        </xdr:cNvPr>
        <xdr:cNvSpPr txBox="1"/>
      </xdr:nvSpPr>
      <xdr:spPr>
        <a:xfrm>
          <a:off x="647318" y="6667990"/>
          <a:ext cx="798650" cy="279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2"/>
              </a:solidFill>
            </a:rPr>
            <a:t>5</a:t>
          </a:r>
          <a:r>
            <a:rPr lang="en-IN" sz="1100" baseline="0">
              <a:solidFill>
                <a:schemeClr val="bg2"/>
              </a:solidFill>
            </a:rPr>
            <a:t> * </a:t>
          </a:r>
          <a:r>
            <a:rPr lang="en-IN" sz="1100" baseline="0">
              <a:solidFill>
                <a:schemeClr val="bg2"/>
              </a:solidFill>
              <a:latin typeface="+mj-lt"/>
            </a:rPr>
            <a:t>Calls</a:t>
          </a:r>
          <a:endParaRPr lang="en-IN" sz="1100">
            <a:solidFill>
              <a:schemeClr val="bg2"/>
            </a:solidFill>
            <a:latin typeface="+mj-lt"/>
          </a:endParaRPr>
        </a:p>
      </xdr:txBody>
    </xdr:sp>
    <xdr:clientData/>
  </xdr:twoCellAnchor>
  <xdr:twoCellAnchor editAs="oneCell">
    <xdr:from>
      <xdr:col>11</xdr:col>
      <xdr:colOff>160297</xdr:colOff>
      <xdr:row>16</xdr:row>
      <xdr:rowOff>14812</xdr:rowOff>
    </xdr:from>
    <xdr:to>
      <xdr:col>13</xdr:col>
      <xdr:colOff>332704</xdr:colOff>
      <xdr:row>26</xdr:row>
      <xdr:rowOff>0</xdr:rowOff>
    </xdr:to>
    <mc:AlternateContent xmlns:mc="http://schemas.openxmlformats.org/markup-compatibility/2006" xmlns:a14="http://schemas.microsoft.com/office/drawing/2010/main">
      <mc:Choice Requires="a14">
        <xdr:graphicFrame macro="">
          <xdr:nvGraphicFramePr>
            <xdr:cNvPr id="2" name="Representative 1">
              <a:extLst>
                <a:ext uri="{FF2B5EF4-FFF2-40B4-BE49-F238E27FC236}">
                  <a16:creationId xmlns:a16="http://schemas.microsoft.com/office/drawing/2014/main" id="{266723EA-BBAF-42FB-87A0-4370AC9C014D}"/>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7082873" y="3424439"/>
              <a:ext cx="1515594" cy="1793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548898</xdr:colOff>
      <xdr:row>36</xdr:row>
      <xdr:rowOff>55777</xdr:rowOff>
    </xdr:from>
    <xdr:to>
      <xdr:col>2</xdr:col>
      <xdr:colOff>320298</xdr:colOff>
      <xdr:row>37</xdr:row>
      <xdr:rowOff>196812</xdr:rowOff>
    </xdr:to>
    <xdr:sp macro="" textlink="Sheet4!E17">
      <xdr:nvSpPr>
        <xdr:cNvPr id="24" name="TextBox 23">
          <a:extLst>
            <a:ext uri="{FF2B5EF4-FFF2-40B4-BE49-F238E27FC236}">
              <a16:creationId xmlns:a16="http://schemas.microsoft.com/office/drawing/2014/main" id="{592B6392-D0CA-471B-ADED-93D74DAF4C05}"/>
            </a:ext>
          </a:extLst>
        </xdr:cNvPr>
        <xdr:cNvSpPr txBox="1"/>
      </xdr:nvSpPr>
      <xdr:spPr>
        <a:xfrm>
          <a:off x="755542" y="7184997"/>
          <a:ext cx="442993" cy="373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7EC296-5F69-4B56-BDFD-378B5BD3FEE7}" type="TxLink">
            <a:rPr lang="en-US" sz="1100" b="0" i="0" u="none" strike="noStrike">
              <a:ln>
                <a:noFill/>
              </a:ln>
              <a:solidFill>
                <a:schemeClr val="bg2">
                  <a:lumMod val="90000"/>
                </a:schemeClr>
              </a:solidFill>
              <a:latin typeface="Aptos"/>
            </a:rPr>
            <a:pPr algn="ctr"/>
            <a:t>51</a:t>
          </a:fld>
          <a:endParaRPr lang="en-IN" sz="1100">
            <a:ln>
              <a:noFill/>
            </a:ln>
            <a:solidFill>
              <a:schemeClr val="bg2">
                <a:lumMod val="90000"/>
              </a:schemeClr>
            </a:solidFill>
          </a:endParaRPr>
        </a:p>
      </xdr:txBody>
    </xdr:sp>
    <xdr:clientData/>
  </xdr:twoCellAnchor>
  <xdr:twoCellAnchor>
    <xdr:from>
      <xdr:col>9</xdr:col>
      <xdr:colOff>257937</xdr:colOff>
      <xdr:row>3</xdr:row>
      <xdr:rowOff>64394</xdr:rowOff>
    </xdr:from>
    <xdr:to>
      <xdr:col>12</xdr:col>
      <xdr:colOff>321972</xdr:colOff>
      <xdr:row>15</xdr:row>
      <xdr:rowOff>38583</xdr:rowOff>
    </xdr:to>
    <xdr:graphicFrame macro="">
      <xdr:nvGraphicFramePr>
        <xdr:cNvPr id="8" name="Chart 7">
          <a:extLst>
            <a:ext uri="{FF2B5EF4-FFF2-40B4-BE49-F238E27FC236}">
              <a16:creationId xmlns:a16="http://schemas.microsoft.com/office/drawing/2014/main" id="{64765205-2128-458A-84CA-B30DE9D3B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273978</xdr:colOff>
      <xdr:row>3</xdr:row>
      <xdr:rowOff>64394</xdr:rowOff>
    </xdr:from>
    <xdr:to>
      <xdr:col>9</xdr:col>
      <xdr:colOff>203917</xdr:colOff>
      <xdr:row>15</xdr:row>
      <xdr:rowOff>34246</xdr:rowOff>
    </xdr:to>
    <xdr:graphicFrame macro="">
      <xdr:nvGraphicFramePr>
        <xdr:cNvPr id="5" name="Chart 4">
          <a:extLst>
            <a:ext uri="{FF2B5EF4-FFF2-40B4-BE49-F238E27FC236}">
              <a16:creationId xmlns:a16="http://schemas.microsoft.com/office/drawing/2014/main" id="{6A5B2DA7-7215-45B4-9A13-30F7D430C7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273978</xdr:colOff>
      <xdr:row>15</xdr:row>
      <xdr:rowOff>128425</xdr:rowOff>
    </xdr:from>
    <xdr:to>
      <xdr:col>10</xdr:col>
      <xdr:colOff>558084</xdr:colOff>
      <xdr:row>38</xdr:row>
      <xdr:rowOff>85859</xdr:rowOff>
    </xdr:to>
    <xdr:sp macro="" textlink="">
      <xdr:nvSpPr>
        <xdr:cNvPr id="31" name="Rectangle 30">
          <a:extLst>
            <a:ext uri="{FF2B5EF4-FFF2-40B4-BE49-F238E27FC236}">
              <a16:creationId xmlns:a16="http://schemas.microsoft.com/office/drawing/2014/main" id="{87B15662-8C77-DC60-FF57-55B398EBBB01}"/>
            </a:ext>
          </a:extLst>
        </xdr:cNvPr>
        <xdr:cNvSpPr/>
      </xdr:nvSpPr>
      <xdr:spPr>
        <a:xfrm>
          <a:off x="1808710" y="2908115"/>
          <a:ext cx="4941966" cy="4153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299665</xdr:colOff>
      <xdr:row>16</xdr:row>
      <xdr:rowOff>160986</xdr:rowOff>
    </xdr:from>
    <xdr:to>
      <xdr:col>5</xdr:col>
      <xdr:colOff>643944</xdr:colOff>
      <xdr:row>37</xdr:row>
      <xdr:rowOff>32197</xdr:rowOff>
    </xdr:to>
    <xdr:graphicFrame macro="">
      <xdr:nvGraphicFramePr>
        <xdr:cNvPr id="26" name="Chart 25">
          <a:extLst>
            <a:ext uri="{FF2B5EF4-FFF2-40B4-BE49-F238E27FC236}">
              <a16:creationId xmlns:a16="http://schemas.microsoft.com/office/drawing/2014/main" id="{F32B42F1-8EFD-47AB-8AB2-E283E662E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655158</xdr:colOff>
      <xdr:row>15</xdr:row>
      <xdr:rowOff>145552</xdr:rowOff>
    </xdr:from>
    <xdr:to>
      <xdr:col>10</xdr:col>
      <xdr:colOff>236112</xdr:colOff>
      <xdr:row>37</xdr:row>
      <xdr:rowOff>10731</xdr:rowOff>
    </xdr:to>
    <xdr:graphicFrame macro="">
      <xdr:nvGraphicFramePr>
        <xdr:cNvPr id="27" name="Chart 26">
          <a:extLst>
            <a:ext uri="{FF2B5EF4-FFF2-40B4-BE49-F238E27FC236}">
              <a16:creationId xmlns:a16="http://schemas.microsoft.com/office/drawing/2014/main" id="{68626F0E-F8A2-4A38-8ED3-6B6C619A8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370879</xdr:colOff>
      <xdr:row>3</xdr:row>
      <xdr:rowOff>42928</xdr:rowOff>
    </xdr:from>
    <xdr:to>
      <xdr:col>16</xdr:col>
      <xdr:colOff>354169</xdr:colOff>
      <xdr:row>15</xdr:row>
      <xdr:rowOff>21465</xdr:rowOff>
    </xdr:to>
    <xdr:graphicFrame macro="">
      <xdr:nvGraphicFramePr>
        <xdr:cNvPr id="25" name="Chart 24">
          <a:extLst>
            <a:ext uri="{FF2B5EF4-FFF2-40B4-BE49-F238E27FC236}">
              <a16:creationId xmlns:a16="http://schemas.microsoft.com/office/drawing/2014/main" id="{DC7B60BB-3682-4747-A11A-42100E90E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412724</xdr:colOff>
      <xdr:row>3</xdr:row>
      <xdr:rowOff>32197</xdr:rowOff>
    </xdr:from>
    <xdr:to>
      <xdr:col>21</xdr:col>
      <xdr:colOff>32198</xdr:colOff>
      <xdr:row>15</xdr:row>
      <xdr:rowOff>28938</xdr:rowOff>
    </xdr:to>
    <xdr:graphicFrame macro="">
      <xdr:nvGraphicFramePr>
        <xdr:cNvPr id="28" name="Chart 27">
          <a:extLst>
            <a:ext uri="{FF2B5EF4-FFF2-40B4-BE49-F238E27FC236}">
              <a16:creationId xmlns:a16="http://schemas.microsoft.com/office/drawing/2014/main" id="{97667FA2-1817-404F-BE6A-01180CF83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OY V V" refreshedDate="46248.863251273149" backgroundQuery="1" createdVersion="8" refreshedVersion="8" minRefreshableVersion="3" recordCount="0" supportSubquery="1" supportAdvancedDrill="1" xr:uid="{FA17A0A2-A5CC-4F44-A3F1-6FB2E1BEEB13}">
  <cacheSource type="external" connectionId="1"/>
  <cacheFields count="3">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 name="[Measures].[Count of Call number]" caption="Count of Call number" numFmtId="0" hierarchy="25"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Total Calls]" caption="Total Calls" measure="1" displayFolder="" measureGroup="calls" count="0"/>
    <cacheHierarchy uniqueName="[Measures].[Total Duration]" caption="Total Duration" measure="1" displayFolder="" measureGroup="calls" count="0"/>
    <cacheHierarchy uniqueName="[Measures].[Total Amount]" caption="Total Amount" measure="1" displayFolder="" measureGroup="calls" count="0"/>
    <cacheHierarchy uniqueName="[Measures].[Avg Satisfaction Rating]" caption="Avg Satisfaction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OY V V" refreshedDate="46248.86325289352" backgroundQuery="1" createdVersion="8" refreshedVersion="8" minRefreshableVersion="3" recordCount="0" supportSubquery="1" supportAdvancedDrill="1" xr:uid="{1ADEE65C-3FE8-4831-B3F1-672F9FD95610}">
  <cacheSource type="external" connectionId="1"/>
  <cacheFields count="3">
    <cacheField name="[calls].[Representative].[Representative]" caption="Representative" numFmtId="0" hierarchy="3" level="1">
      <sharedItems count="5">
        <s v="R01"/>
        <s v="R02"/>
        <s v="R03"/>
        <s v="R04"/>
        <s v="R05"/>
      </sharedItems>
    </cacheField>
    <cacheField name="[Measures].[Count of Call number]" caption="Count of Call number" numFmtId="0" hierarchy="25" level="32767"/>
    <cacheField name="[Measures].[Sum of Purchase Amount]" caption="Sum of Purchase Amount" numFmtId="0" hierarchy="26"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Total Calls]" caption="Total Calls" measure="1" displayFolder="" measureGroup="calls" count="0"/>
    <cacheHierarchy uniqueName="[Measures].[Total Duration]" caption="Total Duration" measure="1" displayFolder="" measureGroup="calls" count="0"/>
    <cacheHierarchy uniqueName="[Measures].[Total Amount]" caption="Total Amount" measure="1" displayFolder="" measureGroup="calls" count="0"/>
    <cacheHierarchy uniqueName="[Measures].[Avg Satisfaction Rating]" caption="Avg Satisfaction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OY V V" refreshedDate="46248.863254398151" backgroundQuery="1" createdVersion="8" refreshedVersion="8" minRefreshableVersion="3" recordCount="0" supportSubquery="1" supportAdvancedDrill="1" xr:uid="{23BCB527-4262-4289-BFB2-CF005420F591}">
  <cacheSource type="external" connectionId="1"/>
  <cacheFields count="5">
    <cacheField name="[Measures].[Total Calls]" caption="Total Calls" numFmtId="0" hierarchy="17" level="32767"/>
    <cacheField name="[Measures].[Total Duration]" caption="Total Duration" numFmtId="0" hierarchy="18" level="32767"/>
    <cacheField name="[Measures].[Total Amount]" caption="Total Amount" numFmtId="0" hierarchy="19" level="32767"/>
    <cacheField name="[Measures].[Avg Satisfaction Rating]" caption="Avg Satisfaction Rating" numFmtId="0" hierarchy="20" level="32767"/>
    <cacheField name="[Measures].[5 * Calls]" caption="5 * 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Total Calls]" caption="Total Calls" measure="1" displayFolder="" measureGroup="calls" count="0" oneField="1">
      <fieldsUsage count="1">
        <fieldUsage x="0"/>
      </fieldsUsage>
    </cacheHierarchy>
    <cacheHierarchy uniqueName="[Measures].[Total Duration]" caption="Total Duration"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Avg Satisfaction Rating]" caption="Avg Satisfaction Rating" measure="1" displayFolder="" measureGroup="calls" count="0" oneField="1">
      <fieldsUsage count="1">
        <fieldUsage x="3"/>
      </fieldsUsage>
    </cacheHierarchy>
    <cacheHierarchy uniqueName="[Measures].[5 * Calls]" caption="5 *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OY V V" refreshedDate="46248.872701967593" backgroundQuery="1" createdVersion="8" refreshedVersion="8" minRefreshableVersion="3" recordCount="0" supportSubquery="1" supportAdvancedDrill="1" xr:uid="{DAB5B7CD-C605-4BD2-ABCC-C69C3E9D7367}">
  <cacheSource type="external" connectionId="1"/>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Measures].[Sum of Purchase Amount]" caption="Sum of Purchase Amount" numFmtId="0" hierarchy="26"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Total Calls]" caption="Total Calls" measure="1" displayFolder="" measureGroup="calls" count="0"/>
    <cacheHierarchy uniqueName="[Measures].[Total Duration]" caption="Total Duration" measure="1" displayFolder="" measureGroup="calls" count="0"/>
    <cacheHierarchy uniqueName="[Measures].[Total Amount]" caption="Total Amount" measure="1" displayFolder="" measureGroup="calls" count="0"/>
    <cacheHierarchy uniqueName="[Measures].[Avg Satisfaction Rating]" caption="Avg Satisfaction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oneField="1" hidden="1">
      <fieldsUsage count="1">
        <fieldUsage x="3"/>
      </fieldsUsage>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OY V V" refreshedDate="46248.872701967593" backgroundQuery="1" createdVersion="8" refreshedVersion="8" minRefreshableVersion="3" recordCount="0" supportSubquery="1" supportAdvancedDrill="1" xr:uid="{D2C1C346-5068-43C8-AB41-01A6626964DA}">
  <cacheSource type="external" connectionId="1"/>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Measures].[Sum of Purchase Amount]" caption="Sum of Purchase Amount" numFmtId="0" hierarchy="26"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Total Calls]" caption="Total Calls" measure="1" displayFolder="" measureGroup="calls" count="0"/>
    <cacheHierarchy uniqueName="[Measures].[Total Duration]" caption="Total Duration" measure="1" displayFolder="" measureGroup="calls" count="0"/>
    <cacheHierarchy uniqueName="[Measures].[Total Amount]" caption="Total Amount" measure="1" displayFolder="" measureGroup="calls" count="0"/>
    <cacheHierarchy uniqueName="[Measures].[Avg Satisfaction Rating]" caption="Avg Satisfaction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oneField="1" hidden="1">
      <fieldsUsage count="1">
        <fieldUsage x="3"/>
      </fieldsUsage>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OY V V" refreshedDate="46251.543349189815" backgroundQuery="1" createdVersion="8" refreshedVersion="8" minRefreshableVersion="3" recordCount="0" supportSubquery="1" supportAdvancedDrill="1" xr:uid="{36CD48B0-90EA-4A5D-8630-748FA72EAA1A}">
  <cacheSource type="external" connectionId="1"/>
  <cacheFields count="6">
    <cacheField name="[Measures].[Total Calls]" caption="Total Calls" numFmtId="0" hierarchy="17" level="32767"/>
    <cacheField name="[Measures].[Total Duration]" caption="Total Duration" numFmtId="0" hierarchy="18" level="32767"/>
    <cacheField name="[Measures].[Total Amount]" caption="Total Amount" numFmtId="0" hierarchy="19" level="32767"/>
    <cacheField name="[Measures].[Avg Satisfaction Rating]" caption="Avg Satisfaction Rating" numFmtId="0" hierarchy="20" level="32767"/>
    <cacheField name="[Measures].[5 * Calls]" caption="5 * Call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Total Calls]" caption="Total Calls" measure="1" displayFolder="" measureGroup="calls" count="0" oneField="1">
      <fieldsUsage count="1">
        <fieldUsage x="0"/>
      </fieldsUsage>
    </cacheHierarchy>
    <cacheHierarchy uniqueName="[Measures].[Total Duration]" caption="Total Duration"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Avg Satisfaction Rating]" caption="Avg Satisfaction Rating" measure="1" displayFolder="" measureGroup="calls" count="0" oneField="1">
      <fieldsUsage count="1">
        <fieldUsage x="3"/>
      </fieldsUsage>
    </cacheHierarchy>
    <cacheHierarchy uniqueName="[Measures].[5 * Calls]" caption="5 *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OY V V" refreshedDate="46251.543349768515" backgroundQuery="1" createdVersion="8" refreshedVersion="8" minRefreshableVersion="3" recordCount="0" supportSubquery="1" supportAdvancedDrill="1" xr:uid="{7A8E7E46-5E5B-4189-8192-C7B5C4E00C0F}">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Total Calls]" caption="Total Calls" numFmtId="0" hierarchy="17" level="32767"/>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Total Calls]" caption="Total Calls" measure="1" displayFolder="" measureGroup="calls" count="0" oneField="1">
      <fieldsUsage count="1">
        <fieldUsage x="3"/>
      </fieldsUsage>
    </cacheHierarchy>
    <cacheHierarchy uniqueName="[Measures].[Total Duration]" caption="Total Duration" measure="1" displayFolder="" measureGroup="calls" count="0"/>
    <cacheHierarchy uniqueName="[Measures].[Total Amount]" caption="Total Amount" measure="1" displayFolder="" measureGroup="calls" count="0"/>
    <cacheHierarchy uniqueName="[Measures].[Avg Satisfaction Rating]" caption="Avg Satisfaction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OY V V" refreshedDate="46251.543350231485" backgroundQuery="1" createdVersion="8" refreshedVersion="8" minRefreshableVersion="3" recordCount="0" supportSubquery="1" supportAdvancedDrill="1" xr:uid="{283FE166-C4FA-44D2-BA84-D1066A22C4F6}">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Total Calls]" caption="Total Calls"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Total Calls]" caption="Total Calls" measure="1" displayFolder="" measureGroup="calls" count="0" oneField="1">
      <fieldsUsage count="1">
        <fieldUsage x="2"/>
      </fieldsUsage>
    </cacheHierarchy>
    <cacheHierarchy uniqueName="[Measures].[Total Duration]" caption="Total Duration" measure="1" displayFolder="" measureGroup="calls" count="0"/>
    <cacheHierarchy uniqueName="[Measures].[Total Amount]" caption="Total Amount" measure="1" displayFolder="" measureGroup="calls" count="0"/>
    <cacheHierarchy uniqueName="[Measures].[Avg Satisfaction Rating]" caption="Avg Satisfaction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OY V V" refreshedDate="46251.5433505787" backgroundQuery="1" createdVersion="8" refreshedVersion="8" minRefreshableVersion="3" recordCount="0" supportSubquery="1" supportAdvancedDrill="1" xr:uid="{42ADCC73-38C3-4F0A-9B98-4482C7F6891C}">
  <cacheSource type="external" connectionId="1"/>
  <cacheFields count="1">
    <cacheField name="[calls].[Representative].[Representative]" caption="Representative" numFmtId="0" hierarchy="3" level="1">
      <sharedItems count="1">
        <s v="R05"/>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Total Calls]" caption="Total Calls" measure="1" displayFolder="" measureGroup="calls" count="0"/>
    <cacheHierarchy uniqueName="[Measures].[Total Duration]" caption="Total Duration" measure="1" displayFolder="" measureGroup="calls" count="0"/>
    <cacheHierarchy uniqueName="[Measures].[Total Amount]" caption="Total Amount" measure="1" displayFolder="" measureGroup="calls" count="0"/>
    <cacheHierarchy uniqueName="[Measures].[Avg Satisfaction Rating]" caption="Avg Satisfaction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OY V V" refreshedDate="46251.543350925924" backgroundQuery="1" createdVersion="8" refreshedVersion="8" minRefreshableVersion="3" recordCount="0" supportSubquery="1" supportAdvancedDrill="1" xr:uid="{D3D00483-85FE-42C1-A1E8-840838E1D911}">
  <cacheSource type="external" connectionId="1"/>
  <cacheFields count="3">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Measures].[Count of Call number]" caption="Count of Call number" numFmtId="0" hierarchy="25"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Total Calls]" caption="Total Calls" measure="1" displayFolder="" measureGroup="calls" count="0"/>
    <cacheHierarchy uniqueName="[Measures].[Total Duration]" caption="Total Duration" measure="1" displayFolder="" measureGroup="calls" count="0"/>
    <cacheHierarchy uniqueName="[Measures].[Total Amount]" caption="Total Amount" measure="1" displayFolder="" measureGroup="calls" count="0"/>
    <cacheHierarchy uniqueName="[Measures].[Avg Satisfaction Rating]" caption="Avg Satisfaction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OY V V" refreshedDate="46248.863239120372" backgroundQuery="1" createdVersion="3" refreshedVersion="8" minRefreshableVersion="3" recordCount="0" supportSubquery="1" supportAdvancedDrill="1" xr:uid="{F5638A2E-4361-461D-9283-E4F5C8D74D89}">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Total Calls]" caption="Total Calls" measure="1" displayFolder="" measureGroup="calls" count="0"/>
    <cacheHierarchy uniqueName="[Measures].[Total Duration]" caption="Total Duration" measure="1" displayFolder="" measureGroup="calls" count="0"/>
    <cacheHierarchy uniqueName="[Measures].[Total Amount]" caption="Total Amount" measure="1" displayFolder="" measureGroup="calls" count="0"/>
    <cacheHierarchy uniqueName="[Measures].[Avg Satisfaction Rating]" caption="Avg Satisfaction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6120364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3EB848-9BD9-494D-AD50-64ACA105A993}" name="Rep pivot" cacheId="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6:E17"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2" subtotal="count" baseField="0" baseItem="0"/>
    <dataField fld="1"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A0B223-5D37-49F4-B4DA-51174B2FC98B}" name="PivotTable1" cacheId="2" applyNumberFormats="0" applyBorderFormats="0" applyFontFormats="0" applyPatternFormats="0" applyAlignmentFormats="0" applyWidthHeightFormats="1" dataCaption="Values" updatedVersion="8" minRefreshableVersion="3" showDrill="0"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2" subtotal="count" baseField="0" baseItem="0"/>
    <dataField fld="1"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7978C3-9ECF-42AC-A08D-C6BB001227E9}" name="PivotTable8" cacheId="4"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O140:U159"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name="Sum of Purchase Amount" fld="3" baseField="0" baseItem="0"/>
  </dataFields>
  <formats count="5">
    <format dxfId="19">
      <pivotArea collapsedLevelsAreSubtotals="1" fieldPosition="0">
        <references count="2">
          <reference field="0" count="1" selected="0">
            <x v="0"/>
          </reference>
          <reference field="1" count="4">
            <x v="0"/>
            <x v="1"/>
            <x v="2"/>
            <x v="3"/>
          </reference>
        </references>
      </pivotArea>
    </format>
    <format dxfId="18">
      <pivotArea collapsedLevelsAreSubtotals="1" fieldPosition="0">
        <references count="1">
          <reference field="0" count="1">
            <x v="1"/>
          </reference>
        </references>
      </pivotArea>
    </format>
    <format dxfId="17">
      <pivotArea collapsedLevelsAreSubtotals="1" fieldPosition="0">
        <references count="2">
          <reference field="0" count="1" selected="0">
            <x v="1"/>
          </reference>
          <reference field="1" count="6">
            <x v="4"/>
            <x v="5"/>
            <x v="6"/>
            <x v="7"/>
            <x v="8"/>
            <x v="9"/>
          </reference>
        </references>
      </pivotArea>
    </format>
    <format dxfId="16">
      <pivotArea collapsedLevelsAreSubtotals="1" fieldPosition="0">
        <references count="1">
          <reference field="0" count="1">
            <x v="2"/>
          </reference>
        </references>
      </pivotArea>
    </format>
    <format dxfId="15">
      <pivotArea collapsedLevelsAreSubtotals="1" fieldPosition="0">
        <references count="2">
          <reference field="0" count="1" selected="0">
            <x v="2"/>
          </reference>
          <reference field="1" count="5">
            <x v="10"/>
            <x v="11"/>
            <x v="12"/>
            <x v="13"/>
            <x v="14"/>
          </reference>
        </references>
      </pivotArea>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9613E7-7758-414C-84E8-ADAFC8F6617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66:O71"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name="Count of Call number" fld="2" subtotal="count" baseField="0" baseItem="0"/>
  </dataFields>
  <chartFormats count="5">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3">
          <reference field="4294967294" count="1" selected="0">
            <x v="0"/>
          </reference>
          <reference field="0" count="1" selected="0">
            <x v="0"/>
          </reference>
          <reference field="1"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9F5499-1324-4EEE-8B61-8C7938FC1775}" name="PivotTable6"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G124:M143"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name="Sum of Purchase Amount" fld="3" baseField="0" baseItem="0"/>
  </dataFields>
  <formats count="5">
    <format dxfId="24">
      <pivotArea collapsedLevelsAreSubtotals="1" fieldPosition="0">
        <references count="2">
          <reference field="0" count="1" selected="0">
            <x v="0"/>
          </reference>
          <reference field="1" count="4">
            <x v="0"/>
            <x v="1"/>
            <x v="2"/>
            <x v="3"/>
          </reference>
        </references>
      </pivotArea>
    </format>
    <format dxfId="23">
      <pivotArea collapsedLevelsAreSubtotals="1" fieldPosition="0">
        <references count="1">
          <reference field="0" count="1">
            <x v="1"/>
          </reference>
        </references>
      </pivotArea>
    </format>
    <format dxfId="22">
      <pivotArea collapsedLevelsAreSubtotals="1" fieldPosition="0">
        <references count="2">
          <reference field="0" count="1" selected="0">
            <x v="1"/>
          </reference>
          <reference field="1" count="6">
            <x v="4"/>
            <x v="5"/>
            <x v="6"/>
            <x v="7"/>
            <x v="8"/>
            <x v="9"/>
          </reference>
        </references>
      </pivotArea>
    </format>
    <format dxfId="21">
      <pivotArea collapsedLevelsAreSubtotals="1" fieldPosition="0">
        <references count="1">
          <reference field="0" count="1">
            <x v="2"/>
          </reference>
        </references>
      </pivotArea>
    </format>
    <format dxfId="20">
      <pivotArea collapsedLevelsAreSubtotals="1" fieldPosition="0">
        <references count="2">
          <reference field="0" count="1" selected="0">
            <x v="2"/>
          </reference>
          <reference field="1" count="5">
            <x v="10"/>
            <x v="11"/>
            <x v="12"/>
            <x v="13"/>
            <x v="14"/>
          </reference>
        </references>
      </pivotArea>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63C930-ADF6-417C-8BA7-807FD87A0D3B}" name="Weekday Trend" cacheId="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L20:M28"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3">
    <chartFormat chart="18"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B1FB4B-4A9B-447A-A8B8-0F9B0A70764D}" name="Monthly Trend" cacheId="6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B19:D32"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Total Calls2" fld="4" subtotal="count" baseField="0" baseItem="0">
      <extLst>
        <ext xmlns:x14="http://schemas.microsoft.com/office/spreadsheetml/2009/9/main" uri="{E15A36E0-9728-4e99-A89B-3F7291B0FE68}">
          <x14:dataField sourceField="3" uniqueName="[__Xl2].[Measures].[Total Calls]"/>
        </ext>
      </extLst>
    </dataField>
  </dataFields>
  <chartFormats count="2">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s>
  <pivotHierarchies count="2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3D1701-447F-4DFB-95E4-133DD7888278}" name="PivotTable4" cacheId="7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B87:C9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all number" fld="1" subtotal="count"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EE6ADA-77AD-4E09-8C8B-328093A8EDFF}" name="PivotTable5" cacheId="6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70:H72"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A029F1-1D12-488A-9005-D7E63CEC29A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1:D47"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Count of Call number" fld="1" subtotal="count" baseField="0" baseItem="0"/>
    <dataField name="Sum of Purchase Amount" fld="2" baseField="0" baseItem="0" numFmtId="167"/>
  </dataFields>
  <formats count="2">
    <format dxfId="26">
      <pivotArea outline="0" collapsedLevelsAreSubtotals="1" fieldPosition="0">
        <references count="1">
          <reference field="4294967294" count="1" selected="0">
            <x v="1"/>
          </reference>
        </references>
      </pivotArea>
    </format>
    <format dxfId="25">
      <pivotArea collapsedLevelsAreSubtotals="1" fieldPosition="0">
        <references count="2">
          <reference field="4294967294" count="1" selected="0">
            <x v="1"/>
          </reference>
          <reference field="0" count="0"/>
        </references>
      </pivotArea>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4</v>
    <v>Business woman shrugging</v>
  </rv>
  <rv s="0">
    <v>1</v>
    <v>5</v>
    <v>A person in a skirt and a cardigan
Description automatically generated</v>
  </rv>
  <rv s="0">
    <v>2</v>
    <v>5</v>
    <v>A person in a suit and tie
Description automatically generated</v>
  </rv>
  <rv s="0">
    <v>3</v>
    <v>5</v>
    <v>Business woman raising hand</v>
  </rv>
  <rv s="0">
    <v>4</v>
    <v>5</v>
    <v>Young businessman writing on notebook</v>
  </rv>
  <rv s="0">
    <v>0</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C5CEFDD6-E6A7-4707-A3B8-F59B0C161229}" sourceName="[calls].[Representative]">
  <pivotTables>
    <pivotTable tabId="8" name="Rep pivot"/>
    <pivotTable tabId="9" name="Monthly Trend"/>
    <pivotTable tabId="9" name="Weekday Trend"/>
    <pivotTable tabId="9" name="PivotTable5"/>
    <pivotTable tabId="9" name="PivotTable4"/>
  </pivotTables>
  <data>
    <olap pivotCacheId="612036491">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59AB0925-618F-4CA9-B61B-A5546DD683AA}" cache="Slicer_Representative" caption="Representativ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6C275CC5-6607-4E51-B9EF-776A934614B0}" cache="Slicer_Representative" caption="Representative" level="1" style="SlicerStyleDark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800EA-F3FE-4264-94C4-499790C10E0D}">
  <dimension ref="A3:E17"/>
  <sheetViews>
    <sheetView workbookViewId="0">
      <selection activeCell="Y30" sqref="Y30"/>
    </sheetView>
  </sheetViews>
  <sheetFormatPr defaultRowHeight="14.4" x14ac:dyDescent="0.3"/>
  <cols>
    <col min="1" max="1" width="9.5" bestFit="1" customWidth="1"/>
    <col min="2" max="2" width="11.59765625" bestFit="1" customWidth="1"/>
    <col min="3" max="3" width="12.3984375" bestFit="1" customWidth="1"/>
    <col min="4" max="4" width="19.69921875" bestFit="1" customWidth="1"/>
    <col min="5" max="5" width="7.69921875" bestFit="1" customWidth="1"/>
  </cols>
  <sheetData>
    <row r="3" spans="1:5" x14ac:dyDescent="0.3">
      <c r="A3" t="s">
        <v>1042</v>
      </c>
      <c r="B3" t="s">
        <v>1044</v>
      </c>
      <c r="C3" t="s">
        <v>1043</v>
      </c>
      <c r="D3" t="s">
        <v>1045</v>
      </c>
      <c r="E3" t="s">
        <v>1046</v>
      </c>
    </row>
    <row r="4" spans="1:5" x14ac:dyDescent="0.3">
      <c r="A4" s="22">
        <v>1000</v>
      </c>
      <c r="B4" s="23">
        <v>96623</v>
      </c>
      <c r="C4" s="22">
        <v>89850</v>
      </c>
      <c r="D4" s="21">
        <v>3.8854000000000033</v>
      </c>
      <c r="E4" s="24">
        <v>307</v>
      </c>
    </row>
    <row r="16" spans="1:5" x14ac:dyDescent="0.3">
      <c r="A16" t="s">
        <v>1042</v>
      </c>
      <c r="B16" t="s">
        <v>1044</v>
      </c>
      <c r="C16" t="s">
        <v>1043</v>
      </c>
      <c r="D16" t="s">
        <v>1045</v>
      </c>
      <c r="E16" t="s">
        <v>1046</v>
      </c>
    </row>
    <row r="17" spans="1:5" x14ac:dyDescent="0.3">
      <c r="A17" s="22">
        <v>200</v>
      </c>
      <c r="B17" s="23">
        <v>20104</v>
      </c>
      <c r="C17" s="22">
        <v>18209</v>
      </c>
      <c r="D17" s="21">
        <v>3.8824999999999998</v>
      </c>
      <c r="E17" s="24">
        <v>51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5789D-280D-4868-A638-B33BE10227BC}">
  <dimension ref="B19:U159"/>
  <sheetViews>
    <sheetView topLeftCell="A30" zoomScale="85" zoomScaleNormal="100" workbookViewId="0">
      <selection activeCell="C127" sqref="C127"/>
    </sheetView>
  </sheetViews>
  <sheetFormatPr defaultRowHeight="14.4" x14ac:dyDescent="0.3"/>
  <cols>
    <col min="2" max="2" width="13" bestFit="1" customWidth="1"/>
    <col min="3" max="3" width="19.296875" bestFit="1" customWidth="1"/>
    <col min="4" max="4" width="11.296875" bestFit="1" customWidth="1"/>
    <col min="5" max="5" width="10.3984375" bestFit="1" customWidth="1"/>
    <col min="6" max="6" width="10.796875" customWidth="1"/>
    <col min="7" max="7" width="22.796875" bestFit="1" customWidth="1"/>
    <col min="8" max="8" width="13" bestFit="1" customWidth="1"/>
    <col min="9" max="11" width="7.8984375" bestFit="1" customWidth="1"/>
    <col min="12" max="12" width="13" bestFit="1" customWidth="1"/>
    <col min="13" max="13" width="10.19921875" bestFit="1" customWidth="1"/>
    <col min="14" max="14" width="5.296875" bestFit="1" customWidth="1"/>
    <col min="15" max="15" width="10.8984375" bestFit="1" customWidth="1"/>
  </cols>
  <sheetData>
    <row r="19" spans="2:13" x14ac:dyDescent="0.3">
      <c r="B19" s="25" t="s">
        <v>1047</v>
      </c>
      <c r="C19" t="s">
        <v>1042</v>
      </c>
      <c r="D19" t="s">
        <v>1061</v>
      </c>
    </row>
    <row r="20" spans="2:13" x14ac:dyDescent="0.3">
      <c r="B20" s="26" t="s">
        <v>1049</v>
      </c>
      <c r="C20" s="22">
        <v>21</v>
      </c>
      <c r="D20" s="22">
        <v>21</v>
      </c>
      <c r="L20" s="25" t="s">
        <v>1047</v>
      </c>
      <c r="M20" t="s">
        <v>1042</v>
      </c>
    </row>
    <row r="21" spans="2:13" x14ac:dyDescent="0.3">
      <c r="B21" s="26" t="s">
        <v>1050</v>
      </c>
      <c r="C21" s="22">
        <v>18</v>
      </c>
      <c r="D21" s="22">
        <v>18</v>
      </c>
      <c r="L21" s="26" t="s">
        <v>1065</v>
      </c>
      <c r="M21" s="22">
        <v>27</v>
      </c>
    </row>
    <row r="22" spans="2:13" x14ac:dyDescent="0.3">
      <c r="B22" s="26" t="s">
        <v>1051</v>
      </c>
      <c r="C22" s="22">
        <v>31</v>
      </c>
      <c r="D22" s="22">
        <v>31</v>
      </c>
      <c r="L22" s="26" t="s">
        <v>1063</v>
      </c>
      <c r="M22" s="22">
        <v>22</v>
      </c>
    </row>
    <row r="23" spans="2:13" x14ac:dyDescent="0.3">
      <c r="B23" s="26" t="s">
        <v>1052</v>
      </c>
      <c r="C23" s="22">
        <v>20</v>
      </c>
      <c r="D23" s="22">
        <v>20</v>
      </c>
      <c r="L23" s="26" t="s">
        <v>1067</v>
      </c>
      <c r="M23" s="22">
        <v>27</v>
      </c>
    </row>
    <row r="24" spans="2:13" x14ac:dyDescent="0.3">
      <c r="B24" s="26" t="s">
        <v>1053</v>
      </c>
      <c r="C24" s="22">
        <v>8</v>
      </c>
      <c r="D24" s="22">
        <v>8</v>
      </c>
      <c r="L24" s="26" t="s">
        <v>1068</v>
      </c>
      <c r="M24" s="22">
        <v>27</v>
      </c>
    </row>
    <row r="25" spans="2:13" x14ac:dyDescent="0.3">
      <c r="B25" s="26" t="s">
        <v>1054</v>
      </c>
      <c r="C25" s="22">
        <v>12</v>
      </c>
      <c r="D25" s="22">
        <v>12</v>
      </c>
      <c r="L25" s="26" t="s">
        <v>1066</v>
      </c>
      <c r="M25" s="22">
        <v>27</v>
      </c>
    </row>
    <row r="26" spans="2:13" x14ac:dyDescent="0.3">
      <c r="B26" s="26" t="s">
        <v>1055</v>
      </c>
      <c r="C26" s="22">
        <v>12</v>
      </c>
      <c r="D26" s="22">
        <v>12</v>
      </c>
      <c r="L26" s="26" t="s">
        <v>1062</v>
      </c>
      <c r="M26" s="22">
        <v>32</v>
      </c>
    </row>
    <row r="27" spans="2:13" x14ac:dyDescent="0.3">
      <c r="B27" s="26" t="s">
        <v>1056</v>
      </c>
      <c r="C27" s="22">
        <v>7</v>
      </c>
      <c r="D27" s="22">
        <v>7</v>
      </c>
      <c r="L27" s="26" t="s">
        <v>1064</v>
      </c>
      <c r="M27" s="22">
        <v>38</v>
      </c>
    </row>
    <row r="28" spans="2:13" x14ac:dyDescent="0.3">
      <c r="B28" s="26" t="s">
        <v>1057</v>
      </c>
      <c r="C28" s="22">
        <v>20</v>
      </c>
      <c r="D28" s="22">
        <v>20</v>
      </c>
      <c r="L28" s="26" t="s">
        <v>1048</v>
      </c>
      <c r="M28" s="22">
        <v>200</v>
      </c>
    </row>
    <row r="29" spans="2:13" x14ac:dyDescent="0.3">
      <c r="B29" s="26" t="s">
        <v>1058</v>
      </c>
      <c r="C29" s="22">
        <v>24</v>
      </c>
      <c r="D29" s="22">
        <v>24</v>
      </c>
    </row>
    <row r="30" spans="2:13" x14ac:dyDescent="0.3">
      <c r="B30" s="26" t="s">
        <v>1059</v>
      </c>
      <c r="C30" s="22">
        <v>12</v>
      </c>
      <c r="D30" s="22">
        <v>12</v>
      </c>
    </row>
    <row r="31" spans="2:13" x14ac:dyDescent="0.3">
      <c r="B31" s="26" t="s">
        <v>1060</v>
      </c>
      <c r="C31" s="22">
        <v>15</v>
      </c>
      <c r="D31" s="22">
        <v>15</v>
      </c>
    </row>
    <row r="32" spans="2:13" x14ac:dyDescent="0.3">
      <c r="B32" s="26" t="s">
        <v>1048</v>
      </c>
      <c r="C32" s="22">
        <v>200</v>
      </c>
      <c r="D32" s="22">
        <v>200</v>
      </c>
    </row>
    <row r="40" spans="2:13" x14ac:dyDescent="0.3">
      <c r="G40" t="str" cm="1">
        <f t="array" ref="G40:H44">B42:C46</f>
        <v>R01</v>
      </c>
      <c r="H40">
        <v>189</v>
      </c>
      <c r="I40" t="e">
        <f>IF(G40=M$40,H40,NA())</f>
        <v>#N/A</v>
      </c>
      <c r="M40" t="str">
        <f>H71</f>
        <v>R05</v>
      </c>
    </row>
    <row r="41" spans="2:13" x14ac:dyDescent="0.3">
      <c r="B41" s="25" t="s">
        <v>1047</v>
      </c>
      <c r="C41" t="s">
        <v>1069</v>
      </c>
      <c r="D41" t="s">
        <v>1070</v>
      </c>
      <c r="G41" t="str">
        <v>R02</v>
      </c>
      <c r="H41">
        <v>218</v>
      </c>
      <c r="I41" t="e">
        <f>IF(G41=M$40,H41,NA())</f>
        <v>#N/A</v>
      </c>
    </row>
    <row r="42" spans="2:13" x14ac:dyDescent="0.3">
      <c r="B42" s="26" t="s">
        <v>11</v>
      </c>
      <c r="C42">
        <v>189</v>
      </c>
      <c r="D42" s="28">
        <v>18415</v>
      </c>
      <c r="G42" t="str">
        <v>R03</v>
      </c>
      <c r="H42">
        <v>207</v>
      </c>
      <c r="I42" t="e">
        <f>IF(G42=M$40,H42,NA())</f>
        <v>#N/A</v>
      </c>
      <c r="K42" s="26" t="s">
        <v>11</v>
      </c>
      <c r="L42" s="29">
        <v>18415</v>
      </c>
      <c r="M42" s="30" t="e">
        <f>IF(K42=M40,L42,NA())</f>
        <v>#N/A</v>
      </c>
    </row>
    <row r="43" spans="2:13" x14ac:dyDescent="0.3">
      <c r="B43" s="26" t="s">
        <v>9</v>
      </c>
      <c r="C43">
        <v>218</v>
      </c>
      <c r="D43" s="28">
        <v>20581</v>
      </c>
      <c r="G43" t="str">
        <v>R04</v>
      </c>
      <c r="H43">
        <v>186</v>
      </c>
      <c r="I43" t="e">
        <f>IF(G43=M$40,H43,NA())</f>
        <v>#N/A</v>
      </c>
      <c r="K43" s="26" t="s">
        <v>9</v>
      </c>
      <c r="L43" s="29">
        <v>20581</v>
      </c>
      <c r="M43" s="30" t="e">
        <f>IF(K43=M40,L43,NA())</f>
        <v>#N/A</v>
      </c>
    </row>
    <row r="44" spans="2:13" x14ac:dyDescent="0.3">
      <c r="B44" s="26" t="s">
        <v>6</v>
      </c>
      <c r="C44">
        <v>207</v>
      </c>
      <c r="D44" s="28">
        <v>20872</v>
      </c>
      <c r="G44" t="str">
        <v>R05</v>
      </c>
      <c r="H44">
        <v>200</v>
      </c>
      <c r="I44">
        <f>IF(G44=M$40,H44,NA())</f>
        <v>200</v>
      </c>
      <c r="K44" s="26" t="s">
        <v>6</v>
      </c>
      <c r="L44" s="29">
        <v>20872</v>
      </c>
      <c r="M44" s="30" t="e">
        <f>IF(K44=$M40,L44,NA())</f>
        <v>#N/A</v>
      </c>
    </row>
    <row r="45" spans="2:13" x14ac:dyDescent="0.3">
      <c r="B45" s="26" t="s">
        <v>13</v>
      </c>
      <c r="C45">
        <v>186</v>
      </c>
      <c r="D45" s="28">
        <v>16651</v>
      </c>
      <c r="K45" s="26" t="s">
        <v>13</v>
      </c>
      <c r="L45" s="29">
        <v>16651</v>
      </c>
      <c r="M45" s="30" t="e">
        <f>IF(K45=M$40,L45,NA())</f>
        <v>#N/A</v>
      </c>
    </row>
    <row r="46" spans="2:13" x14ac:dyDescent="0.3">
      <c r="B46" s="26" t="s">
        <v>10</v>
      </c>
      <c r="C46">
        <v>200</v>
      </c>
      <c r="D46" s="28">
        <v>20104</v>
      </c>
      <c r="K46" s="26" t="s">
        <v>10</v>
      </c>
      <c r="L46" s="29">
        <v>20104</v>
      </c>
      <c r="M46" s="30">
        <f>IF(K46=M$40,L46,NA())</f>
        <v>20104</v>
      </c>
    </row>
    <row r="47" spans="2:13" x14ac:dyDescent="0.3">
      <c r="B47" s="26" t="s">
        <v>1048</v>
      </c>
      <c r="C47">
        <v>1000</v>
      </c>
      <c r="D47" s="27">
        <v>96623</v>
      </c>
      <c r="L47" s="28"/>
    </row>
    <row r="48" spans="2:13" x14ac:dyDescent="0.3">
      <c r="L48" s="28"/>
    </row>
    <row r="66" spans="8:15" x14ac:dyDescent="0.3">
      <c r="L66" s="25" t="s">
        <v>1069</v>
      </c>
      <c r="M66" s="25" t="s">
        <v>1071</v>
      </c>
    </row>
    <row r="67" spans="8:15" x14ac:dyDescent="0.3">
      <c r="L67" s="25" t="s">
        <v>1047</v>
      </c>
      <c r="M67" t="s">
        <v>999</v>
      </c>
      <c r="N67" t="s">
        <v>998</v>
      </c>
      <c r="O67" t="s">
        <v>1048</v>
      </c>
    </row>
    <row r="68" spans="8:15" x14ac:dyDescent="0.3">
      <c r="L68" s="26" t="s">
        <v>1002</v>
      </c>
      <c r="M68">
        <v>144</v>
      </c>
      <c r="N68">
        <v>132</v>
      </c>
      <c r="O68">
        <v>276</v>
      </c>
    </row>
    <row r="69" spans="8:15" x14ac:dyDescent="0.3">
      <c r="L69" s="26" t="s">
        <v>1001</v>
      </c>
      <c r="M69">
        <v>326</v>
      </c>
      <c r="N69">
        <v>63</v>
      </c>
      <c r="O69">
        <v>389</v>
      </c>
    </row>
    <row r="70" spans="8:15" x14ac:dyDescent="0.3">
      <c r="H70" s="25" t="s">
        <v>1047</v>
      </c>
      <c r="L70" s="26" t="s">
        <v>1000</v>
      </c>
      <c r="M70">
        <v>129</v>
      </c>
      <c r="N70">
        <v>206</v>
      </c>
      <c r="O70">
        <v>335</v>
      </c>
    </row>
    <row r="71" spans="8:15" x14ac:dyDescent="0.3">
      <c r="H71" s="26" t="s">
        <v>10</v>
      </c>
      <c r="L71" s="26" t="s">
        <v>1048</v>
      </c>
      <c r="M71">
        <v>599</v>
      </c>
      <c r="N71">
        <v>401</v>
      </c>
      <c r="O71">
        <v>1000</v>
      </c>
    </row>
    <row r="72" spans="8:15" x14ac:dyDescent="0.3">
      <c r="H72" s="26" t="s">
        <v>1048</v>
      </c>
    </row>
    <row r="80" spans="8:15" x14ac:dyDescent="0.3">
      <c r="O80" t="s">
        <v>1072</v>
      </c>
    </row>
    <row r="87" spans="2:3" x14ac:dyDescent="0.3">
      <c r="B87" s="25" t="s">
        <v>1047</v>
      </c>
      <c r="C87" t="s">
        <v>1069</v>
      </c>
    </row>
    <row r="88" spans="2:3" x14ac:dyDescent="0.3">
      <c r="B88" s="26">
        <v>2</v>
      </c>
      <c r="C88" s="53">
        <v>10</v>
      </c>
    </row>
    <row r="89" spans="2:3" x14ac:dyDescent="0.3">
      <c r="B89" s="26">
        <v>3</v>
      </c>
      <c r="C89" s="53">
        <v>44</v>
      </c>
    </row>
    <row r="90" spans="2:3" x14ac:dyDescent="0.3">
      <c r="B90" s="26">
        <v>4</v>
      </c>
      <c r="C90" s="53">
        <v>95</v>
      </c>
    </row>
    <row r="91" spans="2:3" x14ac:dyDescent="0.3">
      <c r="B91" s="26">
        <v>5</v>
      </c>
      <c r="C91" s="53">
        <v>51</v>
      </c>
    </row>
    <row r="92" spans="2:3" x14ac:dyDescent="0.3">
      <c r="B92" s="26" t="s">
        <v>1048</v>
      </c>
      <c r="C92" s="53">
        <v>200</v>
      </c>
    </row>
    <row r="104" spans="6:7" x14ac:dyDescent="0.3">
      <c r="F104" t="s">
        <v>1073</v>
      </c>
      <c r="G104" s="31">
        <f>Sheet4!A17/Sheet4!A4</f>
        <v>0.2</v>
      </c>
    </row>
    <row r="105" spans="6:7" x14ac:dyDescent="0.3">
      <c r="F105" t="s">
        <v>1074</v>
      </c>
      <c r="G105">
        <f>_xlfn.XLOOKUP(H71,B42:B46,C42:C46)</f>
        <v>200</v>
      </c>
    </row>
    <row r="106" spans="6:7" x14ac:dyDescent="0.3">
      <c r="F106" t="s">
        <v>1075</v>
      </c>
      <c r="G106">
        <f>_xlfn.XLOOKUP(H71,B42:B46,D42:D46)</f>
        <v>20104</v>
      </c>
    </row>
    <row r="109" spans="6:7" x14ac:dyDescent="0.3">
      <c r="F109" t="s">
        <v>1076</v>
      </c>
      <c r="G109">
        <f>_xlfn.RANK.AVG(G105,C42:C46)</f>
        <v>3</v>
      </c>
    </row>
    <row r="110" spans="6:7" x14ac:dyDescent="0.3">
      <c r="F110" t="s">
        <v>1077</v>
      </c>
      <c r="G110">
        <f>_xlfn.RANK.AVG(G106,D42:D46)</f>
        <v>3</v>
      </c>
    </row>
    <row r="113" spans="6:13" x14ac:dyDescent="0.3">
      <c r="F113" t="s">
        <v>1078</v>
      </c>
      <c r="G113" t="str">
        <f>"% of calls:"&amp;TEXT(G104,"0%")</f>
        <v>% of calls:20%</v>
      </c>
    </row>
    <row r="114" spans="6:13" x14ac:dyDescent="0.3">
      <c r="G114" t="str">
        <f>"Call Rank:"&amp;G109</f>
        <v>Call Rank:3</v>
      </c>
    </row>
    <row r="115" spans="6:13" x14ac:dyDescent="0.3">
      <c r="G115" t="str">
        <f>"Amount Rank:"&amp;G110</f>
        <v>Amount Rank:3</v>
      </c>
    </row>
    <row r="116" spans="6:13" x14ac:dyDescent="0.3">
      <c r="F116" t="s">
        <v>1079</v>
      </c>
      <c r="G116" t="e" vm="1">
        <f>_xlfn.XLOOKUP(H71,Assets!E3:E7,Assets!F3:F7)</f>
        <v>#VALUE!</v>
      </c>
    </row>
    <row r="124" spans="6:13" x14ac:dyDescent="0.3">
      <c r="G124" s="25" t="s">
        <v>1070</v>
      </c>
      <c r="H124" s="25" t="s">
        <v>1071</v>
      </c>
    </row>
    <row r="125" spans="6:13" x14ac:dyDescent="0.3">
      <c r="G125" s="25" t="s">
        <v>1047</v>
      </c>
      <c r="H125" t="s">
        <v>11</v>
      </c>
      <c r="I125" t="s">
        <v>9</v>
      </c>
      <c r="J125" t="s">
        <v>6</v>
      </c>
      <c r="K125" t="s">
        <v>13</v>
      </c>
      <c r="L125" t="s">
        <v>10</v>
      </c>
      <c r="M125" t="s">
        <v>1048</v>
      </c>
    </row>
    <row r="126" spans="6:13" x14ac:dyDescent="0.3">
      <c r="G126" s="26" t="s">
        <v>1002</v>
      </c>
    </row>
    <row r="127" spans="6:13" x14ac:dyDescent="0.3">
      <c r="G127" s="34" t="s">
        <v>20</v>
      </c>
      <c r="H127" s="28">
        <v>891</v>
      </c>
      <c r="I127" s="28">
        <v>1332</v>
      </c>
      <c r="J127" s="28">
        <v>1282</v>
      </c>
      <c r="K127" s="28">
        <v>739</v>
      </c>
      <c r="L127" s="28">
        <v>560</v>
      </c>
      <c r="M127" s="28">
        <v>4804</v>
      </c>
    </row>
    <row r="128" spans="6:13" x14ac:dyDescent="0.3">
      <c r="G128" s="34" t="s">
        <v>12</v>
      </c>
      <c r="H128" s="28">
        <v>1991</v>
      </c>
      <c r="I128" s="28">
        <v>1886</v>
      </c>
      <c r="J128" s="28">
        <v>1206</v>
      </c>
      <c r="K128" s="28">
        <v>884</v>
      </c>
      <c r="L128" s="28">
        <v>1722</v>
      </c>
      <c r="M128" s="28">
        <v>7689</v>
      </c>
    </row>
    <row r="129" spans="7:21" x14ac:dyDescent="0.3">
      <c r="G129" s="34" t="s">
        <v>8</v>
      </c>
      <c r="H129" s="28">
        <v>1163</v>
      </c>
      <c r="I129" s="28">
        <v>1180</v>
      </c>
      <c r="J129" s="28">
        <v>1616</v>
      </c>
      <c r="K129" s="28">
        <v>1043</v>
      </c>
      <c r="L129" s="28">
        <v>1747</v>
      </c>
      <c r="M129" s="28">
        <v>6749</v>
      </c>
    </row>
    <row r="130" spans="7:21" x14ac:dyDescent="0.3">
      <c r="G130" s="34" t="s">
        <v>16</v>
      </c>
      <c r="H130" s="28">
        <v>1438</v>
      </c>
      <c r="I130" s="28">
        <v>1616</v>
      </c>
      <c r="J130" s="28">
        <v>866</v>
      </c>
      <c r="K130" s="28">
        <v>829</v>
      </c>
      <c r="L130" s="28">
        <v>2070</v>
      </c>
      <c r="M130" s="28">
        <v>6819</v>
      </c>
    </row>
    <row r="131" spans="7:21" x14ac:dyDescent="0.3">
      <c r="G131" s="26" t="s">
        <v>1001</v>
      </c>
    </row>
    <row r="132" spans="7:21" x14ac:dyDescent="0.3">
      <c r="G132" s="34" t="s">
        <v>24</v>
      </c>
      <c r="H132" s="28">
        <v>1233</v>
      </c>
      <c r="I132" s="28">
        <v>223</v>
      </c>
      <c r="J132" s="28">
        <v>1680</v>
      </c>
      <c r="K132" s="28">
        <v>990</v>
      </c>
      <c r="L132" s="28">
        <v>1508</v>
      </c>
      <c r="M132" s="28">
        <v>5634</v>
      </c>
    </row>
    <row r="133" spans="7:21" x14ac:dyDescent="0.3">
      <c r="G133" s="34" t="s">
        <v>15</v>
      </c>
      <c r="H133" s="28">
        <v>1598</v>
      </c>
      <c r="I133" s="28">
        <v>1907</v>
      </c>
      <c r="J133" s="28">
        <v>869</v>
      </c>
      <c r="K133" s="28">
        <v>1426</v>
      </c>
      <c r="L133" s="28">
        <v>1416</v>
      </c>
      <c r="M133" s="28">
        <v>7216</v>
      </c>
    </row>
    <row r="134" spans="7:21" x14ac:dyDescent="0.3">
      <c r="G134" s="34" t="s">
        <v>5</v>
      </c>
      <c r="H134" s="28">
        <v>900</v>
      </c>
      <c r="I134" s="28">
        <v>1016</v>
      </c>
      <c r="J134" s="28">
        <v>960</v>
      </c>
      <c r="K134" s="28">
        <v>940</v>
      </c>
      <c r="L134" s="28">
        <v>1193</v>
      </c>
      <c r="M134" s="28">
        <v>5009</v>
      </c>
    </row>
    <row r="135" spans="7:21" x14ac:dyDescent="0.3">
      <c r="G135" s="34" t="s">
        <v>18</v>
      </c>
      <c r="H135" s="28">
        <v>900</v>
      </c>
      <c r="I135" s="28">
        <v>1470</v>
      </c>
      <c r="J135" s="28">
        <v>1617</v>
      </c>
      <c r="K135" s="28">
        <v>1314</v>
      </c>
      <c r="L135" s="28">
        <v>941</v>
      </c>
      <c r="M135" s="28">
        <v>6242</v>
      </c>
    </row>
    <row r="136" spans="7:21" x14ac:dyDescent="0.3">
      <c r="G136" s="34" t="s">
        <v>14</v>
      </c>
      <c r="H136" s="28">
        <v>1255</v>
      </c>
      <c r="I136" s="28">
        <v>516</v>
      </c>
      <c r="J136" s="28">
        <v>1874</v>
      </c>
      <c r="K136" s="28">
        <v>1863</v>
      </c>
      <c r="L136" s="28">
        <v>1722</v>
      </c>
      <c r="M136" s="28">
        <v>7230</v>
      </c>
    </row>
    <row r="137" spans="7:21" x14ac:dyDescent="0.3">
      <c r="G137" s="34" t="s">
        <v>19</v>
      </c>
      <c r="H137" s="28">
        <v>1138</v>
      </c>
      <c r="I137" s="28">
        <v>1898</v>
      </c>
      <c r="J137" s="28">
        <v>1482</v>
      </c>
      <c r="K137" s="28">
        <v>846</v>
      </c>
      <c r="L137" s="28">
        <v>1154</v>
      </c>
      <c r="M137" s="28">
        <v>6518</v>
      </c>
    </row>
    <row r="138" spans="7:21" x14ac:dyDescent="0.3">
      <c r="G138" s="26" t="s">
        <v>1000</v>
      </c>
    </row>
    <row r="139" spans="7:21" x14ac:dyDescent="0.3">
      <c r="G139" s="34" t="s">
        <v>17</v>
      </c>
      <c r="H139" s="28">
        <v>1655</v>
      </c>
      <c r="I139" s="28">
        <v>805</v>
      </c>
      <c r="J139" s="28">
        <v>2263</v>
      </c>
      <c r="K139" s="28">
        <v>987</v>
      </c>
      <c r="L139" s="28">
        <v>1075</v>
      </c>
      <c r="M139" s="28">
        <v>6785</v>
      </c>
    </row>
    <row r="140" spans="7:21" x14ac:dyDescent="0.3">
      <c r="G140" s="34" t="s">
        <v>23</v>
      </c>
      <c r="H140" s="28">
        <v>1104</v>
      </c>
      <c r="I140" s="28">
        <v>2280</v>
      </c>
      <c r="J140" s="28">
        <v>1445</v>
      </c>
      <c r="K140" s="28">
        <v>1722</v>
      </c>
      <c r="L140" s="28">
        <v>1196</v>
      </c>
      <c r="M140" s="28">
        <v>7747</v>
      </c>
      <c r="O140" s="25" t="s">
        <v>1070</v>
      </c>
      <c r="P140" s="25" t="s">
        <v>1071</v>
      </c>
    </row>
    <row r="141" spans="7:21" x14ac:dyDescent="0.3">
      <c r="G141" s="34" t="s">
        <v>7</v>
      </c>
      <c r="H141" s="28">
        <v>372</v>
      </c>
      <c r="I141" s="28">
        <v>1818</v>
      </c>
      <c r="J141" s="28">
        <v>1346</v>
      </c>
      <c r="K141" s="28">
        <v>1156</v>
      </c>
      <c r="L141" s="28">
        <v>1484</v>
      </c>
      <c r="M141" s="28">
        <v>6176</v>
      </c>
      <c r="O141" s="25" t="s">
        <v>1047</v>
      </c>
      <c r="P141" t="s">
        <v>11</v>
      </c>
      <c r="Q141" t="s">
        <v>9</v>
      </c>
      <c r="R141" t="s">
        <v>6</v>
      </c>
      <c r="S141" t="s">
        <v>13</v>
      </c>
      <c r="T141" t="s">
        <v>10</v>
      </c>
      <c r="U141" t="s">
        <v>1048</v>
      </c>
    </row>
    <row r="142" spans="7:21" x14ac:dyDescent="0.3">
      <c r="G142" s="34" t="s">
        <v>22</v>
      </c>
      <c r="H142" s="28">
        <v>1415</v>
      </c>
      <c r="I142" s="28">
        <v>1271</v>
      </c>
      <c r="J142" s="28">
        <v>1214</v>
      </c>
      <c r="K142" s="28">
        <v>1135</v>
      </c>
      <c r="L142" s="28">
        <v>1566</v>
      </c>
      <c r="M142" s="28">
        <v>6601</v>
      </c>
      <c r="O142" s="26" t="s">
        <v>1002</v>
      </c>
    </row>
    <row r="143" spans="7:21" x14ac:dyDescent="0.3">
      <c r="G143" s="34" t="s">
        <v>21</v>
      </c>
      <c r="H143" s="28">
        <v>1362</v>
      </c>
      <c r="I143" s="28">
        <v>1363</v>
      </c>
      <c r="J143" s="28">
        <v>1152</v>
      </c>
      <c r="K143" s="28">
        <v>777</v>
      </c>
      <c r="L143" s="28">
        <v>750</v>
      </c>
      <c r="M143" s="28">
        <v>5404</v>
      </c>
      <c r="O143" s="34" t="s">
        <v>20</v>
      </c>
      <c r="P143" s="28">
        <v>891</v>
      </c>
      <c r="Q143" s="28">
        <v>1332</v>
      </c>
      <c r="R143" s="28">
        <v>1282</v>
      </c>
      <c r="S143" s="28">
        <v>739</v>
      </c>
      <c r="T143" s="28">
        <v>560</v>
      </c>
      <c r="U143" s="28">
        <v>4804</v>
      </c>
    </row>
    <row r="144" spans="7:21" x14ac:dyDescent="0.3">
      <c r="O144" s="34" t="s">
        <v>12</v>
      </c>
      <c r="P144" s="28">
        <v>1991</v>
      </c>
      <c r="Q144" s="28">
        <v>1886</v>
      </c>
      <c r="R144" s="28">
        <v>1206</v>
      </c>
      <c r="S144" s="28">
        <v>884</v>
      </c>
      <c r="T144" s="28">
        <v>1722</v>
      </c>
      <c r="U144" s="28">
        <v>7689</v>
      </c>
    </row>
    <row r="145" spans="15:21" x14ac:dyDescent="0.3">
      <c r="O145" s="34" t="s">
        <v>8</v>
      </c>
      <c r="P145" s="28">
        <v>1163</v>
      </c>
      <c r="Q145" s="28">
        <v>1180</v>
      </c>
      <c r="R145" s="28">
        <v>1616</v>
      </c>
      <c r="S145" s="28">
        <v>1043</v>
      </c>
      <c r="T145" s="28">
        <v>1747</v>
      </c>
      <c r="U145" s="28">
        <v>6749</v>
      </c>
    </row>
    <row r="146" spans="15:21" x14ac:dyDescent="0.3">
      <c r="O146" s="34" t="s">
        <v>16</v>
      </c>
      <c r="P146" s="28">
        <v>1438</v>
      </c>
      <c r="Q146" s="28">
        <v>1616</v>
      </c>
      <c r="R146" s="28">
        <v>866</v>
      </c>
      <c r="S146" s="28">
        <v>829</v>
      </c>
      <c r="T146" s="28">
        <v>2070</v>
      </c>
      <c r="U146" s="28">
        <v>6819</v>
      </c>
    </row>
    <row r="147" spans="15:21" x14ac:dyDescent="0.3">
      <c r="O147" s="26" t="s">
        <v>1001</v>
      </c>
    </row>
    <row r="148" spans="15:21" x14ac:dyDescent="0.3">
      <c r="O148" s="34" t="s">
        <v>24</v>
      </c>
      <c r="P148" s="28">
        <v>1233</v>
      </c>
      <c r="Q148" s="28">
        <v>223</v>
      </c>
      <c r="R148" s="28">
        <v>1680</v>
      </c>
      <c r="S148" s="28">
        <v>990</v>
      </c>
      <c r="T148" s="28">
        <v>1508</v>
      </c>
      <c r="U148" s="28">
        <v>5634</v>
      </c>
    </row>
    <row r="149" spans="15:21" x14ac:dyDescent="0.3">
      <c r="O149" s="34" t="s">
        <v>15</v>
      </c>
      <c r="P149" s="28">
        <v>1598</v>
      </c>
      <c r="Q149" s="28">
        <v>1907</v>
      </c>
      <c r="R149" s="28">
        <v>869</v>
      </c>
      <c r="S149" s="28">
        <v>1426</v>
      </c>
      <c r="T149" s="28">
        <v>1416</v>
      </c>
      <c r="U149" s="28">
        <v>7216</v>
      </c>
    </row>
    <row r="150" spans="15:21" x14ac:dyDescent="0.3">
      <c r="O150" s="34" t="s">
        <v>5</v>
      </c>
      <c r="P150" s="28">
        <v>900</v>
      </c>
      <c r="Q150" s="28">
        <v>1016</v>
      </c>
      <c r="R150" s="28">
        <v>960</v>
      </c>
      <c r="S150" s="28">
        <v>940</v>
      </c>
      <c r="T150" s="28">
        <v>1193</v>
      </c>
      <c r="U150" s="28">
        <v>5009</v>
      </c>
    </row>
    <row r="151" spans="15:21" x14ac:dyDescent="0.3">
      <c r="O151" s="34" t="s">
        <v>18</v>
      </c>
      <c r="P151" s="28">
        <v>900</v>
      </c>
      <c r="Q151" s="28">
        <v>1470</v>
      </c>
      <c r="R151" s="28">
        <v>1617</v>
      </c>
      <c r="S151" s="28">
        <v>1314</v>
      </c>
      <c r="T151" s="28">
        <v>941</v>
      </c>
      <c r="U151" s="28">
        <v>6242</v>
      </c>
    </row>
    <row r="152" spans="15:21" x14ac:dyDescent="0.3">
      <c r="O152" s="34" t="s">
        <v>14</v>
      </c>
      <c r="P152" s="28">
        <v>1255</v>
      </c>
      <c r="Q152" s="28">
        <v>516</v>
      </c>
      <c r="R152" s="28">
        <v>1874</v>
      </c>
      <c r="S152" s="28">
        <v>1863</v>
      </c>
      <c r="T152" s="28">
        <v>1722</v>
      </c>
      <c r="U152" s="28">
        <v>7230</v>
      </c>
    </row>
    <row r="153" spans="15:21" x14ac:dyDescent="0.3">
      <c r="O153" s="34" t="s">
        <v>19</v>
      </c>
      <c r="P153" s="28">
        <v>1138</v>
      </c>
      <c r="Q153" s="28">
        <v>1898</v>
      </c>
      <c r="R153" s="28">
        <v>1482</v>
      </c>
      <c r="S153" s="28">
        <v>846</v>
      </c>
      <c r="T153" s="28">
        <v>1154</v>
      </c>
      <c r="U153" s="28">
        <v>6518</v>
      </c>
    </row>
    <row r="154" spans="15:21" x14ac:dyDescent="0.3">
      <c r="O154" s="26" t="s">
        <v>1000</v>
      </c>
    </row>
    <row r="155" spans="15:21" x14ac:dyDescent="0.3">
      <c r="O155" s="34" t="s">
        <v>17</v>
      </c>
      <c r="P155" s="28">
        <v>1655</v>
      </c>
      <c r="Q155" s="28">
        <v>805</v>
      </c>
      <c r="R155" s="28">
        <v>2263</v>
      </c>
      <c r="S155" s="28">
        <v>987</v>
      </c>
      <c r="T155" s="28">
        <v>1075</v>
      </c>
      <c r="U155" s="28">
        <v>6785</v>
      </c>
    </row>
    <row r="156" spans="15:21" x14ac:dyDescent="0.3">
      <c r="O156" s="34" t="s">
        <v>23</v>
      </c>
      <c r="P156" s="28">
        <v>1104</v>
      </c>
      <c r="Q156" s="28">
        <v>2280</v>
      </c>
      <c r="R156" s="28">
        <v>1445</v>
      </c>
      <c r="S156" s="28">
        <v>1722</v>
      </c>
      <c r="T156" s="28">
        <v>1196</v>
      </c>
      <c r="U156" s="28">
        <v>7747</v>
      </c>
    </row>
    <row r="157" spans="15:21" x14ac:dyDescent="0.3">
      <c r="O157" s="34" t="s">
        <v>7</v>
      </c>
      <c r="P157" s="28">
        <v>372</v>
      </c>
      <c r="Q157" s="28">
        <v>1818</v>
      </c>
      <c r="R157" s="28">
        <v>1346</v>
      </c>
      <c r="S157" s="28">
        <v>1156</v>
      </c>
      <c r="T157" s="28">
        <v>1484</v>
      </c>
      <c r="U157" s="28">
        <v>6176</v>
      </c>
    </row>
    <row r="158" spans="15:21" x14ac:dyDescent="0.3">
      <c r="O158" s="34" t="s">
        <v>22</v>
      </c>
      <c r="P158" s="28">
        <v>1415</v>
      </c>
      <c r="Q158" s="28">
        <v>1271</v>
      </c>
      <c r="R158" s="28">
        <v>1214</v>
      </c>
      <c r="S158" s="28">
        <v>1135</v>
      </c>
      <c r="T158" s="28">
        <v>1566</v>
      </c>
      <c r="U158" s="28">
        <v>6601</v>
      </c>
    </row>
    <row r="159" spans="15:21" x14ac:dyDescent="0.3">
      <c r="O159" s="34" t="s">
        <v>21</v>
      </c>
      <c r="P159" s="28">
        <v>1362</v>
      </c>
      <c r="Q159" s="28">
        <v>1363</v>
      </c>
      <c r="R159" s="28">
        <v>1152</v>
      </c>
      <c r="S159" s="28">
        <v>777</v>
      </c>
      <c r="T159" s="28">
        <v>750</v>
      </c>
      <c r="U159" s="28">
        <v>5404</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53" zoomScaleNormal="115" workbookViewId="0">
      <selection activeCell="E19" sqref="E19"/>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H13" sqref="H13"/>
    </sheetView>
  </sheetViews>
  <sheetFormatPr defaultRowHeight="14.4" x14ac:dyDescent="0.3"/>
  <cols>
    <col min="5" max="5" width="10.8984375" customWidth="1"/>
    <col min="6" max="6" width="9.8984375" customWidth="1"/>
  </cols>
  <sheetData>
    <row r="2" spans="5:6" x14ac:dyDescent="0.3">
      <c r="E2" t="s">
        <v>1040</v>
      </c>
      <c r="F2" t="s">
        <v>1041</v>
      </c>
    </row>
    <row r="3" spans="5:6" ht="25.5" customHeight="1" x14ac:dyDescent="0.3">
      <c r="E3" t="s">
        <v>11</v>
      </c>
      <c r="F3" t="e" vm="2">
        <v>#VALUE!</v>
      </c>
    </row>
    <row r="4" spans="5:6" ht="25.5" customHeight="1" x14ac:dyDescent="0.3">
      <c r="E4" t="s">
        <v>9</v>
      </c>
      <c r="F4" t="e" vm="3">
        <v>#VALUE!</v>
      </c>
    </row>
    <row r="5" spans="5:6" ht="25.5" customHeight="1" x14ac:dyDescent="0.3">
      <c r="E5" t="s">
        <v>6</v>
      </c>
      <c r="F5" t="e" vm="4">
        <v>#VALUE!</v>
      </c>
    </row>
    <row r="6" spans="5:6" ht="25.5" customHeight="1" x14ac:dyDescent="0.3">
      <c r="E6" t="s">
        <v>13</v>
      </c>
      <c r="F6" t="e" vm="5">
        <v>#VALUE!</v>
      </c>
    </row>
    <row r="7" spans="5:6" ht="25.5" customHeight="1" x14ac:dyDescent="0.3">
      <c r="E7" t="s">
        <v>10</v>
      </c>
      <c r="F7" t="e" vm="6">
        <v>#VALUE!</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D4A55-8E51-4806-91CA-C9612E21871A}">
  <dimension ref="A1:AC42"/>
  <sheetViews>
    <sheetView tabSelected="1" zoomScale="65" zoomScaleNormal="71" workbookViewId="0">
      <selection activeCell="AA24" sqref="AA24"/>
    </sheetView>
  </sheetViews>
  <sheetFormatPr defaultRowHeight="14.4" x14ac:dyDescent="0.3"/>
  <cols>
    <col min="1" max="1" width="2.69921875" customWidth="1"/>
    <col min="15" max="15" width="12.09765625" bestFit="1" customWidth="1"/>
    <col min="16" max="16" width="10.5" style="45" customWidth="1"/>
    <col min="17" max="21" width="10.8984375" style="35" bestFit="1" customWidth="1"/>
  </cols>
  <sheetData>
    <row r="1" spans="1:29" ht="51" customHeight="1" x14ac:dyDescent="0.3">
      <c r="A1" s="20"/>
      <c r="B1" s="50" t="s">
        <v>1080</v>
      </c>
      <c r="C1" s="51"/>
      <c r="D1" s="51"/>
      <c r="E1" s="51"/>
      <c r="F1" s="51"/>
      <c r="G1" s="51"/>
      <c r="H1" s="51"/>
      <c r="I1" s="51"/>
      <c r="J1" s="51"/>
      <c r="K1" s="51"/>
      <c r="L1" s="51"/>
      <c r="M1" s="51"/>
      <c r="N1" s="51"/>
      <c r="O1" s="51"/>
      <c r="P1" s="51"/>
      <c r="Q1" s="51"/>
      <c r="R1" s="51"/>
      <c r="S1" s="51"/>
      <c r="T1" s="51"/>
      <c r="U1" s="51"/>
      <c r="V1" s="20"/>
      <c r="W1" s="20"/>
      <c r="X1" s="20"/>
      <c r="Y1" s="20"/>
      <c r="Z1" s="20"/>
      <c r="AA1" s="20"/>
      <c r="AB1" s="20"/>
      <c r="AC1" s="20"/>
    </row>
    <row r="2" spans="1:29" ht="18" customHeight="1" x14ac:dyDescent="0.3">
      <c r="A2" s="20"/>
      <c r="B2" s="51"/>
      <c r="C2" s="51"/>
      <c r="D2" s="51"/>
      <c r="E2" s="51"/>
      <c r="F2" s="51"/>
      <c r="G2" s="51"/>
      <c r="H2" s="51"/>
      <c r="I2" s="51"/>
      <c r="J2" s="51"/>
      <c r="K2" s="51"/>
      <c r="L2" s="51"/>
      <c r="M2" s="51"/>
      <c r="N2" s="51"/>
      <c r="O2" s="51"/>
      <c r="P2" s="51"/>
      <c r="Q2" s="51"/>
      <c r="R2" s="51"/>
      <c r="S2" s="51"/>
      <c r="T2" s="51"/>
      <c r="U2" s="51"/>
      <c r="V2" s="20"/>
      <c r="W2" s="20"/>
      <c r="X2" s="20"/>
      <c r="Y2" s="20"/>
      <c r="Z2" s="20"/>
      <c r="AA2" s="20"/>
      <c r="AB2" s="20"/>
      <c r="AC2" s="20"/>
    </row>
    <row r="3" spans="1:29" x14ac:dyDescent="0.3">
      <c r="A3" s="20"/>
      <c r="B3" s="20"/>
      <c r="C3" s="20"/>
      <c r="D3" s="20"/>
      <c r="E3" s="20"/>
      <c r="F3" s="20"/>
      <c r="G3" s="20"/>
      <c r="H3" s="20"/>
      <c r="I3" s="20"/>
      <c r="J3" s="20"/>
      <c r="K3" s="20"/>
      <c r="L3" s="20"/>
      <c r="M3" s="20"/>
      <c r="N3" s="20"/>
      <c r="O3" s="20"/>
      <c r="P3" s="42"/>
      <c r="Q3" s="32"/>
      <c r="R3" s="32"/>
      <c r="S3" s="32"/>
      <c r="T3" s="32"/>
      <c r="U3" s="32"/>
      <c r="V3" s="20"/>
      <c r="W3" s="20"/>
      <c r="X3" s="20"/>
      <c r="Y3" s="20"/>
      <c r="Z3" s="20"/>
      <c r="AA3" s="20"/>
      <c r="AB3" s="20"/>
      <c r="AC3" s="20"/>
    </row>
    <row r="4" spans="1:29" x14ac:dyDescent="0.3">
      <c r="A4" s="20"/>
      <c r="B4" s="20"/>
      <c r="C4" s="20"/>
      <c r="D4" s="20"/>
      <c r="E4" s="20"/>
      <c r="F4" s="20"/>
      <c r="G4" s="20"/>
      <c r="H4" s="20"/>
      <c r="I4" s="20"/>
      <c r="J4" s="20"/>
      <c r="K4" s="20"/>
      <c r="L4" s="20"/>
      <c r="M4" s="20"/>
      <c r="N4" s="20"/>
      <c r="O4" s="20"/>
      <c r="P4" s="42"/>
      <c r="Q4" s="32"/>
      <c r="R4" s="32"/>
      <c r="S4" s="32"/>
      <c r="T4" s="32"/>
      <c r="U4" s="32"/>
      <c r="V4" s="20"/>
      <c r="W4" s="20"/>
      <c r="X4" s="20"/>
      <c r="Y4" s="20"/>
      <c r="Z4" s="20"/>
      <c r="AA4" s="20"/>
      <c r="AB4" s="20"/>
      <c r="AC4" s="20"/>
    </row>
    <row r="5" spans="1:29" x14ac:dyDescent="0.3">
      <c r="A5" s="20"/>
      <c r="B5" s="20"/>
      <c r="C5" s="20"/>
      <c r="D5" s="20"/>
      <c r="E5" s="20"/>
      <c r="F5" s="20"/>
      <c r="G5" s="20"/>
      <c r="H5" s="20"/>
      <c r="I5" s="20"/>
      <c r="J5" s="20"/>
      <c r="K5" s="20"/>
      <c r="L5" s="20"/>
      <c r="M5" s="20"/>
      <c r="N5" s="20"/>
      <c r="O5" s="20"/>
      <c r="P5" s="42"/>
      <c r="Q5" s="32"/>
      <c r="R5" s="32"/>
      <c r="S5" s="32"/>
      <c r="T5" s="32"/>
      <c r="U5" s="32"/>
      <c r="V5" s="20"/>
      <c r="W5" s="20"/>
      <c r="X5" s="20"/>
      <c r="Y5" s="20"/>
      <c r="Z5" s="20"/>
      <c r="AA5" s="20"/>
      <c r="AB5" s="20"/>
      <c r="AC5" s="20"/>
    </row>
    <row r="6" spans="1:29" x14ac:dyDescent="0.3">
      <c r="A6" s="20"/>
      <c r="B6" s="20"/>
      <c r="C6" s="20"/>
      <c r="D6" s="20"/>
      <c r="E6" s="20"/>
      <c r="F6" s="20"/>
      <c r="G6" s="20"/>
      <c r="H6" s="20"/>
      <c r="I6" s="20"/>
      <c r="J6" s="20"/>
      <c r="K6" s="20"/>
      <c r="L6" s="20"/>
      <c r="M6" s="20"/>
      <c r="N6" s="20"/>
      <c r="O6" s="20"/>
      <c r="P6" s="42"/>
      <c r="Q6" s="32"/>
      <c r="R6" s="32"/>
      <c r="S6" s="32"/>
      <c r="T6" s="32"/>
      <c r="U6" s="32"/>
      <c r="V6" s="20"/>
      <c r="W6" s="20"/>
      <c r="X6" s="20"/>
      <c r="Y6" s="20"/>
      <c r="Z6" s="20"/>
      <c r="AA6" s="20"/>
      <c r="AB6" s="20"/>
      <c r="AC6" s="20"/>
    </row>
    <row r="7" spans="1:29" x14ac:dyDescent="0.3">
      <c r="A7" s="20"/>
      <c r="B7" s="20"/>
      <c r="C7" s="20"/>
      <c r="D7" s="20"/>
      <c r="E7" s="20"/>
      <c r="F7" s="20"/>
      <c r="G7" s="20"/>
      <c r="H7" s="20"/>
      <c r="I7" s="20"/>
      <c r="J7" s="20"/>
      <c r="K7" s="20"/>
      <c r="L7" s="20"/>
      <c r="M7" s="20"/>
      <c r="N7" s="20"/>
      <c r="O7" s="20"/>
      <c r="P7" s="42"/>
      <c r="Q7" s="32"/>
      <c r="R7" s="32"/>
      <c r="S7" s="32"/>
      <c r="T7" s="32"/>
      <c r="U7" s="32"/>
      <c r="V7" s="20"/>
      <c r="W7" s="20"/>
      <c r="X7" s="20"/>
      <c r="Y7" s="20"/>
      <c r="Z7" s="20"/>
      <c r="AA7" s="20"/>
      <c r="AB7" s="20"/>
      <c r="AC7" s="20"/>
    </row>
    <row r="8" spans="1:29" x14ac:dyDescent="0.3">
      <c r="A8" s="20"/>
      <c r="B8" s="20"/>
      <c r="C8" s="20"/>
      <c r="D8" s="20"/>
      <c r="E8" s="20"/>
      <c r="F8" s="20"/>
      <c r="G8" s="20"/>
      <c r="H8" s="20"/>
      <c r="I8" s="20"/>
      <c r="J8" s="20"/>
      <c r="K8" s="20"/>
      <c r="L8" s="20"/>
      <c r="M8" s="20"/>
      <c r="N8" s="20"/>
      <c r="O8" s="20"/>
      <c r="P8" s="42"/>
      <c r="Q8" s="32"/>
      <c r="R8" s="32"/>
      <c r="S8" s="32"/>
      <c r="T8" s="32"/>
      <c r="U8" s="32"/>
      <c r="V8" s="20"/>
      <c r="W8" s="20"/>
      <c r="X8" s="20"/>
      <c r="Y8" s="20"/>
      <c r="Z8" s="20"/>
      <c r="AA8" s="20"/>
      <c r="AB8" s="20"/>
      <c r="AC8" s="20"/>
    </row>
    <row r="9" spans="1:29" x14ac:dyDescent="0.3">
      <c r="A9" s="20"/>
      <c r="B9" s="20"/>
      <c r="C9" s="20"/>
      <c r="D9" s="20"/>
      <c r="E9" s="20"/>
      <c r="F9" s="20"/>
      <c r="G9" s="20"/>
      <c r="H9" s="20"/>
      <c r="I9" s="20"/>
      <c r="J9" s="20"/>
      <c r="K9" s="20"/>
      <c r="L9" s="20"/>
      <c r="M9" s="20"/>
      <c r="N9" s="20"/>
      <c r="O9" s="20"/>
      <c r="P9" s="42"/>
      <c r="Q9" s="32"/>
      <c r="R9" s="32"/>
      <c r="S9" s="32"/>
      <c r="T9" s="32"/>
      <c r="U9" s="32"/>
      <c r="V9" s="20"/>
      <c r="W9" s="20"/>
      <c r="X9" s="20"/>
      <c r="Y9" s="20"/>
      <c r="Z9" s="20"/>
      <c r="AA9" s="20"/>
      <c r="AB9" s="20"/>
      <c r="AC9" s="20"/>
    </row>
    <row r="10" spans="1:29" x14ac:dyDescent="0.3">
      <c r="A10" s="20"/>
      <c r="B10" s="20"/>
      <c r="C10" s="20"/>
      <c r="D10" s="20"/>
      <c r="E10" s="20"/>
      <c r="F10" s="20"/>
      <c r="G10" s="20"/>
      <c r="H10" s="20"/>
      <c r="I10" s="20"/>
      <c r="J10" s="20"/>
      <c r="K10" s="20"/>
      <c r="L10" s="20"/>
      <c r="M10" s="20"/>
      <c r="N10" s="20"/>
      <c r="O10" s="20"/>
      <c r="P10" s="42"/>
      <c r="Q10" s="32"/>
      <c r="R10" s="32"/>
      <c r="S10" s="32"/>
      <c r="T10" s="32"/>
      <c r="U10" s="32"/>
      <c r="V10" s="20"/>
      <c r="W10" s="20"/>
      <c r="X10" s="20"/>
      <c r="Y10" s="20"/>
      <c r="Z10" s="20"/>
      <c r="AA10" s="20"/>
      <c r="AB10" s="20"/>
      <c r="AC10" s="20"/>
    </row>
    <row r="11" spans="1:29" x14ac:dyDescent="0.3">
      <c r="A11" s="20"/>
      <c r="B11" s="20"/>
      <c r="C11" s="20"/>
      <c r="D11" s="20"/>
      <c r="E11" s="20"/>
      <c r="F11" s="20"/>
      <c r="G11" s="20"/>
      <c r="H11" s="20"/>
      <c r="I11" s="20"/>
      <c r="J11" s="20"/>
      <c r="K11" s="20"/>
      <c r="L11" s="20"/>
      <c r="M11" s="20"/>
      <c r="N11" s="20"/>
      <c r="O11" s="20"/>
      <c r="P11" s="42"/>
      <c r="Q11" s="32"/>
      <c r="R11" s="32"/>
      <c r="S11" s="32"/>
      <c r="T11" s="32"/>
      <c r="U11" s="32"/>
      <c r="V11" s="20"/>
      <c r="W11" s="20"/>
      <c r="X11" s="20"/>
      <c r="Y11" s="20"/>
      <c r="Z11" s="20"/>
      <c r="AA11" s="20"/>
      <c r="AB11" s="20"/>
      <c r="AC11" s="20"/>
    </row>
    <row r="12" spans="1:29" x14ac:dyDescent="0.3">
      <c r="A12" s="20"/>
      <c r="B12" s="20"/>
      <c r="C12" s="20"/>
      <c r="D12" s="20"/>
      <c r="E12" s="20"/>
      <c r="F12" s="20"/>
      <c r="G12" s="20"/>
      <c r="H12" s="20"/>
      <c r="I12" s="20"/>
      <c r="J12" s="20"/>
      <c r="K12" s="20"/>
      <c r="L12" s="20"/>
      <c r="M12" s="20"/>
      <c r="N12" s="20"/>
      <c r="O12" s="20"/>
      <c r="P12" s="42"/>
      <c r="Q12" s="32"/>
      <c r="R12" s="32"/>
      <c r="S12" s="32"/>
      <c r="T12" s="32"/>
      <c r="U12" s="32"/>
      <c r="V12" s="20"/>
      <c r="W12" s="20"/>
      <c r="X12" s="20"/>
      <c r="Y12" s="20"/>
      <c r="Z12" s="20"/>
      <c r="AA12" s="20"/>
      <c r="AB12" s="20"/>
      <c r="AC12" s="20"/>
    </row>
    <row r="13" spans="1:29" x14ac:dyDescent="0.3">
      <c r="A13" s="20"/>
      <c r="B13" s="20"/>
      <c r="C13" s="20"/>
      <c r="D13" s="20"/>
      <c r="E13" s="20"/>
      <c r="F13" s="20"/>
      <c r="G13" s="20"/>
      <c r="H13" s="20"/>
      <c r="I13" s="20"/>
      <c r="J13" s="20"/>
      <c r="K13" s="20"/>
      <c r="L13" s="20"/>
      <c r="M13" s="20"/>
      <c r="N13" s="20"/>
      <c r="O13" s="20"/>
      <c r="P13" s="42"/>
      <c r="Q13" s="32"/>
      <c r="R13" s="32"/>
      <c r="S13" s="32"/>
      <c r="T13" s="32"/>
      <c r="U13" s="32"/>
      <c r="V13" s="20"/>
      <c r="W13" s="20"/>
      <c r="X13" s="20"/>
      <c r="Y13" s="20"/>
      <c r="Z13" s="20"/>
      <c r="AA13" s="20"/>
      <c r="AB13" s="20"/>
      <c r="AC13" s="20"/>
    </row>
    <row r="14" spans="1:29" x14ac:dyDescent="0.3">
      <c r="A14" s="20"/>
      <c r="B14" s="20"/>
      <c r="C14" s="20"/>
      <c r="D14" s="20"/>
      <c r="E14" s="20"/>
      <c r="F14" s="20"/>
      <c r="G14" s="20"/>
      <c r="H14" s="20"/>
      <c r="I14" s="20"/>
      <c r="J14" s="20"/>
      <c r="K14" s="20"/>
      <c r="L14" s="20"/>
      <c r="M14" s="20"/>
      <c r="N14" s="20"/>
      <c r="O14" s="20"/>
      <c r="P14" s="42"/>
      <c r="Q14" s="32"/>
      <c r="R14" s="32"/>
      <c r="S14" s="32"/>
      <c r="T14" s="32"/>
      <c r="U14" s="32"/>
      <c r="V14" s="20"/>
      <c r="W14" s="20"/>
      <c r="X14" s="20"/>
      <c r="Y14" s="20"/>
      <c r="Z14" s="20"/>
      <c r="AA14" s="20"/>
      <c r="AB14" s="20"/>
      <c r="AC14" s="20"/>
    </row>
    <row r="15" spans="1:29" x14ac:dyDescent="0.3">
      <c r="A15" s="20"/>
      <c r="B15" s="20"/>
      <c r="C15" s="20"/>
      <c r="D15" s="20"/>
      <c r="E15" s="20"/>
      <c r="F15" s="20"/>
      <c r="G15" s="20"/>
      <c r="H15" s="20"/>
      <c r="I15" s="20"/>
      <c r="J15" s="20"/>
      <c r="K15" s="20"/>
      <c r="L15" s="20"/>
      <c r="M15" s="20"/>
      <c r="N15" s="20"/>
      <c r="O15" s="20"/>
      <c r="P15" s="42"/>
      <c r="Q15" s="32"/>
      <c r="R15" s="32"/>
      <c r="S15" s="32"/>
      <c r="T15" s="32"/>
      <c r="U15" s="32"/>
      <c r="V15" s="20"/>
      <c r="W15" s="20"/>
      <c r="X15" s="20"/>
      <c r="Y15" s="20"/>
      <c r="Z15" s="20"/>
      <c r="AA15" s="20"/>
      <c r="AB15" s="20"/>
      <c r="AC15" s="20"/>
    </row>
    <row r="16" spans="1:29" x14ac:dyDescent="0.3">
      <c r="A16" s="20"/>
      <c r="B16" s="20"/>
      <c r="C16" s="20"/>
      <c r="D16" s="20"/>
      <c r="E16" s="20"/>
      <c r="F16" s="20"/>
      <c r="G16" s="20"/>
      <c r="H16" s="20"/>
      <c r="I16" s="20"/>
      <c r="J16" s="20"/>
      <c r="K16" s="20"/>
      <c r="L16" s="20"/>
      <c r="M16" s="20"/>
      <c r="N16" s="20"/>
      <c r="O16" s="20"/>
      <c r="P16" s="42"/>
      <c r="Q16" s="32"/>
      <c r="R16" s="32"/>
      <c r="S16" s="32"/>
      <c r="T16" s="32"/>
      <c r="U16" s="32"/>
      <c r="V16" s="20"/>
      <c r="W16" s="20"/>
      <c r="X16" s="20"/>
      <c r="Y16" s="20"/>
      <c r="Z16" s="20"/>
      <c r="AA16" s="20"/>
      <c r="AB16" s="20"/>
      <c r="AC16" s="20"/>
    </row>
    <row r="17" spans="1:29" x14ac:dyDescent="0.3">
      <c r="A17" s="20"/>
      <c r="B17" s="20"/>
      <c r="C17" s="20"/>
      <c r="D17" s="20"/>
      <c r="E17" s="20"/>
      <c r="F17" s="20"/>
      <c r="G17" s="20"/>
      <c r="H17" s="20"/>
      <c r="I17" s="20"/>
      <c r="J17" s="20"/>
      <c r="K17" s="20"/>
      <c r="L17" s="20"/>
      <c r="M17" s="20"/>
      <c r="N17" s="20"/>
      <c r="O17" s="52"/>
      <c r="P17" s="52"/>
      <c r="Q17" s="52"/>
      <c r="R17" s="52"/>
      <c r="S17" s="52"/>
      <c r="T17" s="52"/>
      <c r="U17" s="52"/>
      <c r="V17" s="20"/>
      <c r="W17" s="20"/>
      <c r="X17" s="20"/>
      <c r="Y17" s="20"/>
      <c r="Z17" s="20"/>
      <c r="AA17" s="20"/>
      <c r="AB17" s="20"/>
      <c r="AC17" s="20"/>
    </row>
    <row r="18" spans="1:29" x14ac:dyDescent="0.3">
      <c r="A18" s="20"/>
      <c r="B18" s="20"/>
      <c r="C18" s="20"/>
      <c r="D18" s="20"/>
      <c r="E18" s="20"/>
      <c r="F18" s="20"/>
      <c r="G18" s="20"/>
      <c r="H18" s="20"/>
      <c r="I18" s="20"/>
      <c r="J18" s="20"/>
      <c r="K18" s="20"/>
      <c r="L18" s="20"/>
      <c r="M18" s="20"/>
      <c r="N18" s="20"/>
      <c r="O18" s="37"/>
      <c r="P18" s="38" t="str" cm="1">
        <f t="array" ref="P18:U18">Sheet1!H125:M125</f>
        <v>R01</v>
      </c>
      <c r="Q18" s="38" t="str">
        <v>R02</v>
      </c>
      <c r="R18" s="38" t="str">
        <v>R03</v>
      </c>
      <c r="S18" s="38" t="str">
        <v>R04</v>
      </c>
      <c r="T18" s="38" t="str">
        <v>R05</v>
      </c>
      <c r="U18" s="38" t="str">
        <v>Grand Total</v>
      </c>
      <c r="V18" s="20"/>
      <c r="W18" s="20"/>
      <c r="X18" s="20"/>
      <c r="Y18" s="20"/>
      <c r="Z18" s="20"/>
      <c r="AA18" s="20"/>
      <c r="AB18" s="20"/>
      <c r="AC18" s="20"/>
    </row>
    <row r="19" spans="1:29" x14ac:dyDescent="0.3">
      <c r="A19" s="20"/>
      <c r="B19" s="20"/>
      <c r="C19" s="20"/>
      <c r="D19" s="20"/>
      <c r="E19" s="20"/>
      <c r="F19" s="20"/>
      <c r="G19" s="20"/>
      <c r="H19" s="20"/>
      <c r="I19" s="20"/>
      <c r="J19" s="20"/>
      <c r="K19" s="20"/>
      <c r="L19" s="20"/>
      <c r="M19" s="20"/>
      <c r="N19" s="20"/>
      <c r="O19" s="39" t="str" cm="1">
        <f t="array" ref="O19:U36">IF(Sheet1!G126:M143=0,"",Sheet1!G126:M143)</f>
        <v>Cincinnati</v>
      </c>
      <c r="P19" s="44" t="str">
        <v/>
      </c>
      <c r="Q19" s="40" t="str">
        <v/>
      </c>
      <c r="R19" s="40" t="str">
        <v/>
      </c>
      <c r="S19" s="40" t="str">
        <v/>
      </c>
      <c r="T19" s="40" t="str">
        <v/>
      </c>
      <c r="U19" s="40" t="str">
        <v/>
      </c>
      <c r="V19" s="20"/>
      <c r="W19" s="20"/>
      <c r="X19" s="20"/>
      <c r="Y19" s="20"/>
      <c r="Z19" s="20"/>
      <c r="AA19" s="20"/>
      <c r="AB19" s="20"/>
      <c r="AC19" s="20"/>
    </row>
    <row r="20" spans="1:29" x14ac:dyDescent="0.3">
      <c r="A20" s="20"/>
      <c r="B20" s="20"/>
      <c r="C20" s="20"/>
      <c r="D20" s="20"/>
      <c r="E20" s="20"/>
      <c r="F20" s="20"/>
      <c r="G20" s="20"/>
      <c r="H20" s="20"/>
      <c r="I20" s="20"/>
      <c r="J20" s="20"/>
      <c r="K20" s="20"/>
      <c r="L20" s="20"/>
      <c r="M20" s="20"/>
      <c r="N20" s="20"/>
      <c r="O20" s="41" t="str">
        <v>C0003</v>
      </c>
      <c r="P20" s="46">
        <v>891</v>
      </c>
      <c r="Q20" s="46">
        <v>1332</v>
      </c>
      <c r="R20" s="46">
        <v>1282</v>
      </c>
      <c r="S20" s="46">
        <v>739</v>
      </c>
      <c r="T20" s="46">
        <v>560</v>
      </c>
      <c r="U20" s="46">
        <v>4804</v>
      </c>
      <c r="V20" s="20"/>
      <c r="W20" s="20"/>
      <c r="X20" s="20"/>
      <c r="Y20" s="36"/>
      <c r="Z20" s="20"/>
      <c r="AA20" s="20"/>
      <c r="AB20" s="20"/>
      <c r="AC20" s="20"/>
    </row>
    <row r="21" spans="1:29" x14ac:dyDescent="0.3">
      <c r="A21" s="20"/>
      <c r="B21" s="20"/>
      <c r="C21" s="20"/>
      <c r="D21" s="20"/>
      <c r="E21" s="20"/>
      <c r="F21" s="20"/>
      <c r="G21" s="20"/>
      <c r="H21" s="20"/>
      <c r="I21" s="20"/>
      <c r="J21" s="20"/>
      <c r="K21" s="20"/>
      <c r="L21" s="20"/>
      <c r="M21" s="20"/>
      <c r="N21" s="20"/>
      <c r="O21" s="41" t="str">
        <v>C0004</v>
      </c>
      <c r="P21" s="46">
        <v>1991</v>
      </c>
      <c r="Q21" s="46">
        <v>1886</v>
      </c>
      <c r="R21" s="46">
        <v>1206</v>
      </c>
      <c r="S21" s="46">
        <v>884</v>
      </c>
      <c r="T21" s="46">
        <v>1722</v>
      </c>
      <c r="U21" s="46">
        <v>7689</v>
      </c>
      <c r="V21" s="20"/>
      <c r="W21" s="20"/>
      <c r="X21" s="20"/>
      <c r="Y21" s="20"/>
      <c r="Z21" s="20"/>
      <c r="AA21" s="20"/>
      <c r="AB21" s="20"/>
      <c r="AC21" s="20"/>
    </row>
    <row r="22" spans="1:29" x14ac:dyDescent="0.3">
      <c r="A22" s="20"/>
      <c r="B22" s="20"/>
      <c r="C22" s="20"/>
      <c r="D22" s="20"/>
      <c r="E22" s="20"/>
      <c r="F22" s="20"/>
      <c r="G22" s="20"/>
      <c r="H22" s="20"/>
      <c r="I22" s="20"/>
      <c r="J22" s="20"/>
      <c r="K22" s="20"/>
      <c r="L22" s="20"/>
      <c r="M22" s="20"/>
      <c r="N22" s="20"/>
      <c r="O22" s="41" t="str">
        <v>C0011</v>
      </c>
      <c r="P22" s="46">
        <v>1163</v>
      </c>
      <c r="Q22" s="46">
        <v>1180</v>
      </c>
      <c r="R22" s="46">
        <v>1616</v>
      </c>
      <c r="S22" s="46">
        <v>1043</v>
      </c>
      <c r="T22" s="46">
        <v>1747</v>
      </c>
      <c r="U22" s="46">
        <v>6749</v>
      </c>
      <c r="V22" s="20"/>
      <c r="W22" s="20"/>
      <c r="X22" s="20"/>
      <c r="Y22" s="20"/>
      <c r="Z22" s="20"/>
      <c r="AA22" s="20"/>
      <c r="AB22" s="20"/>
      <c r="AC22" s="20"/>
    </row>
    <row r="23" spans="1:29" x14ac:dyDescent="0.3">
      <c r="A23" s="20"/>
      <c r="B23" s="20"/>
      <c r="C23" s="20"/>
      <c r="D23" s="20"/>
      <c r="E23" s="20"/>
      <c r="F23" s="20"/>
      <c r="G23" s="20"/>
      <c r="H23" s="20"/>
      <c r="I23" s="20"/>
      <c r="J23" s="20"/>
      <c r="K23" s="20"/>
      <c r="L23" s="20"/>
      <c r="M23" s="20"/>
      <c r="N23" s="20"/>
      <c r="O23" s="41" t="str">
        <v>C0012</v>
      </c>
      <c r="P23" s="46">
        <v>1438</v>
      </c>
      <c r="Q23" s="46">
        <v>1616</v>
      </c>
      <c r="R23" s="46">
        <v>866</v>
      </c>
      <c r="S23" s="46">
        <v>829</v>
      </c>
      <c r="T23" s="46">
        <v>2070</v>
      </c>
      <c r="U23" s="46">
        <v>6819</v>
      </c>
      <c r="V23" s="20"/>
      <c r="W23" s="20"/>
      <c r="X23" s="20"/>
      <c r="Y23" s="20"/>
      <c r="Z23" s="20"/>
      <c r="AA23" s="20"/>
      <c r="AB23" s="20"/>
      <c r="AC23" s="20"/>
    </row>
    <row r="24" spans="1:29" x14ac:dyDescent="0.3">
      <c r="A24" s="20"/>
      <c r="B24" s="20"/>
      <c r="C24" s="20"/>
      <c r="D24" s="20"/>
      <c r="E24" s="20"/>
      <c r="F24" s="20"/>
      <c r="G24" s="20"/>
      <c r="H24" s="20"/>
      <c r="I24" s="20"/>
      <c r="J24" s="20"/>
      <c r="K24" s="20"/>
      <c r="L24" s="20"/>
      <c r="M24" s="20"/>
      <c r="N24" s="20"/>
      <c r="O24" s="39" t="str">
        <v>Cleveland</v>
      </c>
      <c r="P24" s="46" t="str">
        <v/>
      </c>
      <c r="Q24" s="46" t="str">
        <v/>
      </c>
      <c r="R24" s="46" t="str">
        <v/>
      </c>
      <c r="S24" s="46" t="str">
        <v/>
      </c>
      <c r="T24" s="46" t="str">
        <v/>
      </c>
      <c r="U24" s="46" t="str">
        <v/>
      </c>
      <c r="V24" s="20"/>
      <c r="W24" s="20"/>
      <c r="X24" s="20"/>
      <c r="Y24" s="20"/>
      <c r="Z24" s="20"/>
      <c r="AA24" s="20"/>
      <c r="AB24" s="20"/>
      <c r="AC24" s="20"/>
    </row>
    <row r="25" spans="1:29" x14ac:dyDescent="0.3">
      <c r="A25" s="20"/>
      <c r="B25" s="20"/>
      <c r="C25" s="20"/>
      <c r="D25" s="20"/>
      <c r="E25" s="20"/>
      <c r="F25" s="20"/>
      <c r="G25" s="20"/>
      <c r="H25" s="20"/>
      <c r="I25" s="20"/>
      <c r="J25" s="20"/>
      <c r="K25" s="20"/>
      <c r="L25" s="20"/>
      <c r="M25" s="20"/>
      <c r="N25" s="20"/>
      <c r="O25" s="41" t="str">
        <v>C0002</v>
      </c>
      <c r="P25" s="46">
        <v>1233</v>
      </c>
      <c r="Q25" s="46">
        <v>223</v>
      </c>
      <c r="R25" s="46">
        <v>1680</v>
      </c>
      <c r="S25" s="46">
        <v>990</v>
      </c>
      <c r="T25" s="46">
        <v>1508</v>
      </c>
      <c r="U25" s="46">
        <v>5634</v>
      </c>
      <c r="V25" s="20"/>
      <c r="W25" s="20"/>
      <c r="X25" s="20"/>
      <c r="Y25" s="20"/>
      <c r="Z25" s="20"/>
      <c r="AA25" s="20"/>
      <c r="AB25" s="20"/>
      <c r="AC25" s="20"/>
    </row>
    <row r="26" spans="1:29" x14ac:dyDescent="0.3">
      <c r="A26" s="20"/>
      <c r="B26" s="20"/>
      <c r="C26" s="20"/>
      <c r="D26" s="20"/>
      <c r="E26" s="20"/>
      <c r="F26" s="20"/>
      <c r="G26" s="20"/>
      <c r="H26" s="20"/>
      <c r="I26" s="20"/>
      <c r="J26" s="20"/>
      <c r="K26" s="20"/>
      <c r="L26" s="20"/>
      <c r="M26" s="20"/>
      <c r="N26" s="20"/>
      <c r="O26" s="41" t="str">
        <v>C0007</v>
      </c>
      <c r="P26" s="46">
        <v>1598</v>
      </c>
      <c r="Q26" s="46">
        <v>1907</v>
      </c>
      <c r="R26" s="46">
        <v>869</v>
      </c>
      <c r="S26" s="46">
        <v>1426</v>
      </c>
      <c r="T26" s="46">
        <v>1416</v>
      </c>
      <c r="U26" s="46">
        <v>7216</v>
      </c>
      <c r="V26" s="20"/>
      <c r="W26" s="20"/>
      <c r="X26" s="20"/>
      <c r="Y26" s="20"/>
      <c r="Z26" s="20"/>
      <c r="AA26" s="20"/>
      <c r="AB26" s="20"/>
      <c r="AC26" s="20"/>
    </row>
    <row r="27" spans="1:29" x14ac:dyDescent="0.3">
      <c r="A27" s="20"/>
      <c r="B27" s="20"/>
      <c r="C27" s="20"/>
      <c r="D27" s="20"/>
      <c r="E27" s="20"/>
      <c r="F27" s="20"/>
      <c r="G27" s="20"/>
      <c r="H27" s="20"/>
      <c r="I27" s="20"/>
      <c r="J27" s="20"/>
      <c r="K27" s="20"/>
      <c r="L27" s="33"/>
      <c r="M27" s="33"/>
      <c r="N27" s="20"/>
      <c r="O27" s="41" t="str">
        <v>C0008</v>
      </c>
      <c r="P27" s="46">
        <v>900</v>
      </c>
      <c r="Q27" s="46">
        <v>1016</v>
      </c>
      <c r="R27" s="46">
        <v>960</v>
      </c>
      <c r="S27" s="46">
        <v>940</v>
      </c>
      <c r="T27" s="46">
        <v>1193</v>
      </c>
      <c r="U27" s="46">
        <v>5009</v>
      </c>
      <c r="V27" s="20"/>
      <c r="W27" s="20"/>
      <c r="X27" s="20"/>
      <c r="Y27" s="20"/>
      <c r="Z27" s="20"/>
      <c r="AA27" s="20"/>
      <c r="AB27" s="20"/>
      <c r="AC27" s="20"/>
    </row>
    <row r="28" spans="1:29" x14ac:dyDescent="0.3">
      <c r="A28" s="20"/>
      <c r="B28" s="20"/>
      <c r="C28" s="20"/>
      <c r="D28" s="20"/>
      <c r="E28" s="20"/>
      <c r="F28" s="20"/>
      <c r="G28" s="20"/>
      <c r="H28" s="20"/>
      <c r="I28" s="20"/>
      <c r="J28" s="20"/>
      <c r="K28" s="20"/>
      <c r="L28" s="48" t="e" vm="1">
        <f>Sheet1!G116</f>
        <v>#VALUE!</v>
      </c>
      <c r="M28" s="48"/>
      <c r="N28" s="48"/>
      <c r="O28" s="41" t="str">
        <v>C0010</v>
      </c>
      <c r="P28" s="46">
        <v>900</v>
      </c>
      <c r="Q28" s="46">
        <v>1470</v>
      </c>
      <c r="R28" s="46">
        <v>1617</v>
      </c>
      <c r="S28" s="46">
        <v>1314</v>
      </c>
      <c r="T28" s="46">
        <v>941</v>
      </c>
      <c r="U28" s="46">
        <v>6242</v>
      </c>
      <c r="V28" s="20"/>
      <c r="W28" s="20"/>
      <c r="X28" s="20"/>
      <c r="Y28" s="20"/>
      <c r="Z28" s="20"/>
      <c r="AA28" s="20"/>
      <c r="AB28" s="20"/>
      <c r="AC28" s="20"/>
    </row>
    <row r="29" spans="1:29" x14ac:dyDescent="0.3">
      <c r="A29" s="20"/>
      <c r="B29" s="20"/>
      <c r="C29" s="20"/>
      <c r="D29" s="20"/>
      <c r="E29" s="20"/>
      <c r="F29" s="20"/>
      <c r="G29" s="20"/>
      <c r="H29" s="20"/>
      <c r="I29" s="20"/>
      <c r="J29" s="20"/>
      <c r="K29" s="20"/>
      <c r="L29" s="48"/>
      <c r="M29" s="48"/>
      <c r="N29" s="48"/>
      <c r="O29" s="41" t="str">
        <v>C0013</v>
      </c>
      <c r="P29" s="46">
        <v>1255</v>
      </c>
      <c r="Q29" s="46">
        <v>516</v>
      </c>
      <c r="R29" s="46">
        <v>1874</v>
      </c>
      <c r="S29" s="46">
        <v>1863</v>
      </c>
      <c r="T29" s="46">
        <v>1722</v>
      </c>
      <c r="U29" s="46">
        <v>7230</v>
      </c>
      <c r="V29" s="20"/>
      <c r="W29" s="20"/>
      <c r="X29" s="20"/>
      <c r="Y29" s="20"/>
      <c r="Z29" s="20"/>
      <c r="AA29" s="20"/>
      <c r="AB29" s="20"/>
      <c r="AC29" s="20"/>
    </row>
    <row r="30" spans="1:29" x14ac:dyDescent="0.3">
      <c r="A30" s="20"/>
      <c r="B30" s="20"/>
      <c r="C30" s="20"/>
      <c r="D30" s="20"/>
      <c r="E30" s="20"/>
      <c r="F30" s="20"/>
      <c r="G30" s="20"/>
      <c r="H30" s="20"/>
      <c r="I30" s="20"/>
      <c r="J30" s="20"/>
      <c r="K30" s="20"/>
      <c r="L30" s="48"/>
      <c r="M30" s="48"/>
      <c r="N30" s="48"/>
      <c r="O30" s="41" t="str">
        <v>C0015</v>
      </c>
      <c r="P30" s="46">
        <v>1138</v>
      </c>
      <c r="Q30" s="46">
        <v>1898</v>
      </c>
      <c r="R30" s="46">
        <v>1482</v>
      </c>
      <c r="S30" s="46">
        <v>846</v>
      </c>
      <c r="T30" s="46">
        <v>1154</v>
      </c>
      <c r="U30" s="46">
        <v>6518</v>
      </c>
      <c r="V30" s="20"/>
      <c r="W30" s="20"/>
      <c r="X30" s="20"/>
      <c r="Y30" s="20"/>
      <c r="Z30" s="20"/>
      <c r="AA30" s="20"/>
      <c r="AB30" s="20"/>
      <c r="AC30" s="20"/>
    </row>
    <row r="31" spans="1:29" x14ac:dyDescent="0.3">
      <c r="A31" s="20"/>
      <c r="B31" s="20"/>
      <c r="C31" s="20"/>
      <c r="D31" s="20"/>
      <c r="E31" s="20"/>
      <c r="F31" s="20"/>
      <c r="G31" s="20"/>
      <c r="H31" s="20"/>
      <c r="I31" s="20"/>
      <c r="J31" s="20"/>
      <c r="K31" s="20" t="e" vm="1">
        <f>Sheet1!G116</f>
        <v>#VALUE!</v>
      </c>
      <c r="L31" s="48"/>
      <c r="M31" s="48"/>
      <c r="N31" s="48"/>
      <c r="O31" s="39" t="str">
        <v>Columbus</v>
      </c>
      <c r="P31" s="46" t="str">
        <v/>
      </c>
      <c r="Q31" s="46" t="str">
        <v/>
      </c>
      <c r="R31" s="46" t="str">
        <v/>
      </c>
      <c r="S31" s="46" t="str">
        <v/>
      </c>
      <c r="T31" s="46" t="str">
        <v/>
      </c>
      <c r="U31" s="46" t="str">
        <v/>
      </c>
      <c r="V31" s="20"/>
      <c r="W31" s="20"/>
      <c r="X31" s="20"/>
      <c r="Y31" s="20"/>
      <c r="Z31" s="20"/>
      <c r="AA31" s="20"/>
      <c r="AB31" s="20"/>
      <c r="AC31" s="20"/>
    </row>
    <row r="32" spans="1:29" x14ac:dyDescent="0.3">
      <c r="A32" s="20"/>
      <c r="B32" s="20"/>
      <c r="C32" s="20"/>
      <c r="D32" s="20"/>
      <c r="E32" s="20"/>
      <c r="F32" s="20"/>
      <c r="G32" s="20"/>
      <c r="H32" s="20"/>
      <c r="I32" s="20"/>
      <c r="J32" s="20"/>
      <c r="K32" s="20"/>
      <c r="L32" s="48"/>
      <c r="M32" s="48"/>
      <c r="N32" s="48"/>
      <c r="O32" s="41" t="str">
        <v>C0001</v>
      </c>
      <c r="P32" s="46">
        <v>1655</v>
      </c>
      <c r="Q32" s="46">
        <v>805</v>
      </c>
      <c r="R32" s="46">
        <v>2263</v>
      </c>
      <c r="S32" s="46">
        <v>987</v>
      </c>
      <c r="T32" s="46">
        <v>1075</v>
      </c>
      <c r="U32" s="46">
        <v>6785</v>
      </c>
      <c r="V32" s="20"/>
      <c r="W32" s="20"/>
      <c r="X32" s="20"/>
      <c r="Y32" s="20"/>
      <c r="Z32" s="20"/>
      <c r="AA32" s="20"/>
      <c r="AB32" s="20"/>
      <c r="AC32" s="20"/>
    </row>
    <row r="33" spans="1:29" x14ac:dyDescent="0.3">
      <c r="A33" s="20"/>
      <c r="B33" s="20"/>
      <c r="C33" s="20"/>
      <c r="D33" s="20"/>
      <c r="E33" s="20"/>
      <c r="F33" s="20"/>
      <c r="G33" s="20"/>
      <c r="H33" s="20"/>
      <c r="I33" s="20"/>
      <c r="J33" s="20"/>
      <c r="K33" s="20"/>
      <c r="L33" s="48"/>
      <c r="M33" s="48"/>
      <c r="N33" s="48"/>
      <c r="O33" s="41" t="str">
        <v>C0005</v>
      </c>
      <c r="P33" s="46">
        <v>1104</v>
      </c>
      <c r="Q33" s="46">
        <v>2280</v>
      </c>
      <c r="R33" s="46">
        <v>1445</v>
      </c>
      <c r="S33" s="46">
        <v>1722</v>
      </c>
      <c r="T33" s="46">
        <v>1196</v>
      </c>
      <c r="U33" s="46">
        <v>7747</v>
      </c>
      <c r="V33" s="20"/>
      <c r="W33" s="20"/>
      <c r="X33" s="20"/>
      <c r="Y33" s="20"/>
      <c r="Z33" s="20"/>
      <c r="AA33" s="20"/>
      <c r="AB33" s="20"/>
      <c r="AC33" s="20"/>
    </row>
    <row r="34" spans="1:29" x14ac:dyDescent="0.3">
      <c r="A34" s="20"/>
      <c r="B34" s="20"/>
      <c r="C34" s="20"/>
      <c r="D34" s="20"/>
      <c r="E34" s="20"/>
      <c r="F34" s="20"/>
      <c r="G34" s="20"/>
      <c r="H34" s="20"/>
      <c r="I34" s="20"/>
      <c r="J34" s="20"/>
      <c r="K34" s="20"/>
      <c r="L34" s="33"/>
      <c r="M34" s="33"/>
      <c r="N34" s="20"/>
      <c r="O34" s="41" t="str">
        <v>C0006</v>
      </c>
      <c r="P34" s="46">
        <v>372</v>
      </c>
      <c r="Q34" s="46">
        <v>1818</v>
      </c>
      <c r="R34" s="46">
        <v>1346</v>
      </c>
      <c r="S34" s="46">
        <v>1156</v>
      </c>
      <c r="T34" s="46">
        <v>1484</v>
      </c>
      <c r="U34" s="46">
        <v>6176</v>
      </c>
      <c r="V34" s="20"/>
      <c r="W34" s="20"/>
      <c r="X34" s="20"/>
      <c r="Y34" s="20"/>
      <c r="Z34" s="20"/>
      <c r="AA34" s="20"/>
      <c r="AB34" s="20"/>
      <c r="AC34" s="20"/>
    </row>
    <row r="35" spans="1:29" ht="18" x14ac:dyDescent="0.35">
      <c r="A35" s="20"/>
      <c r="B35" s="20"/>
      <c r="C35" s="20"/>
      <c r="D35" s="20"/>
      <c r="E35" s="20"/>
      <c r="F35" s="20"/>
      <c r="G35" s="20"/>
      <c r="H35" s="20"/>
      <c r="I35" s="20"/>
      <c r="J35" s="20"/>
      <c r="K35" s="20"/>
      <c r="L35" s="49" t="str">
        <f>Sheet1!G113</f>
        <v>% of calls:20%</v>
      </c>
      <c r="M35" s="49"/>
      <c r="N35" s="49"/>
      <c r="O35" s="41" t="str">
        <v>C0009</v>
      </c>
      <c r="P35" s="46">
        <v>1415</v>
      </c>
      <c r="Q35" s="46">
        <v>1271</v>
      </c>
      <c r="R35" s="46">
        <v>1214</v>
      </c>
      <c r="S35" s="46">
        <v>1135</v>
      </c>
      <c r="T35" s="46">
        <v>1566</v>
      </c>
      <c r="U35" s="46">
        <v>6601</v>
      </c>
      <c r="V35" s="20"/>
      <c r="W35" s="20"/>
      <c r="X35" s="20"/>
      <c r="Y35" s="20"/>
      <c r="Z35" s="20"/>
      <c r="AA35" s="20"/>
      <c r="AB35" s="20"/>
      <c r="AC35" s="20"/>
    </row>
    <row r="36" spans="1:29" ht="18" x14ac:dyDescent="0.35">
      <c r="A36" s="20"/>
      <c r="B36" s="20"/>
      <c r="C36" s="20"/>
      <c r="D36" s="20"/>
      <c r="E36" s="20"/>
      <c r="F36" s="20"/>
      <c r="G36" s="20"/>
      <c r="H36" s="20"/>
      <c r="I36" s="20"/>
      <c r="J36" s="20"/>
      <c r="K36" s="20"/>
      <c r="L36" s="49" t="str">
        <f>Sheet1!G114</f>
        <v>Call Rank:3</v>
      </c>
      <c r="M36" s="49"/>
      <c r="N36" s="49"/>
      <c r="O36" s="41" t="str">
        <v>C0014</v>
      </c>
      <c r="P36" s="46">
        <v>1362</v>
      </c>
      <c r="Q36" s="46">
        <v>1363</v>
      </c>
      <c r="R36" s="46">
        <v>1152</v>
      </c>
      <c r="S36" s="46">
        <v>777</v>
      </c>
      <c r="T36" s="46">
        <v>750</v>
      </c>
      <c r="U36" s="46">
        <v>5404</v>
      </c>
      <c r="V36" s="20"/>
      <c r="W36" s="20"/>
      <c r="X36" s="20"/>
      <c r="Y36" s="20"/>
      <c r="Z36" s="20"/>
      <c r="AA36" s="20"/>
      <c r="AB36" s="20"/>
      <c r="AC36" s="20"/>
    </row>
    <row r="37" spans="1:29" ht="18" x14ac:dyDescent="0.35">
      <c r="A37" s="20"/>
      <c r="B37" s="20"/>
      <c r="C37" s="20"/>
      <c r="D37" s="20"/>
      <c r="E37" s="20"/>
      <c r="F37" s="20"/>
      <c r="G37" s="20"/>
      <c r="H37" s="20"/>
      <c r="I37" s="20"/>
      <c r="J37" s="20"/>
      <c r="K37" s="20"/>
      <c r="L37" s="49" t="str">
        <f>Sheet1!G115</f>
        <v>Amount Rank:3</v>
      </c>
      <c r="M37" s="49"/>
      <c r="N37" s="49"/>
      <c r="O37" s="37"/>
      <c r="P37" s="43"/>
      <c r="Q37" s="38"/>
      <c r="R37" s="38"/>
      <c r="S37" s="38"/>
      <c r="T37" s="38"/>
      <c r="U37" s="38"/>
      <c r="V37" s="20"/>
      <c r="W37" s="20"/>
      <c r="X37" s="20"/>
      <c r="Y37" s="20"/>
      <c r="Z37" s="20"/>
      <c r="AA37" s="20"/>
      <c r="AB37" s="20"/>
      <c r="AC37" s="20"/>
    </row>
    <row r="38" spans="1:29" ht="18" x14ac:dyDescent="0.35">
      <c r="A38" s="20"/>
      <c r="B38" s="20"/>
      <c r="C38" s="20"/>
      <c r="D38" s="20"/>
      <c r="E38" s="20"/>
      <c r="F38" s="20"/>
      <c r="G38" s="20"/>
      <c r="H38" s="20"/>
      <c r="I38" s="20"/>
      <c r="J38" s="20"/>
      <c r="K38" s="20"/>
      <c r="L38" s="47"/>
      <c r="M38" s="47"/>
      <c r="N38" s="47"/>
      <c r="O38" s="39"/>
      <c r="P38" s="44"/>
      <c r="Q38" s="40"/>
      <c r="R38" s="40"/>
      <c r="S38" s="40"/>
      <c r="T38" s="40"/>
      <c r="U38" s="40"/>
      <c r="V38" s="20"/>
      <c r="W38" s="20"/>
      <c r="X38" s="20"/>
      <c r="Y38" s="20"/>
      <c r="Z38" s="20"/>
      <c r="AA38" s="20"/>
      <c r="AB38" s="20"/>
      <c r="AC38" s="20"/>
    </row>
    <row r="39" spans="1:29" x14ac:dyDescent="0.3">
      <c r="A39" s="20"/>
      <c r="B39" s="20"/>
      <c r="C39" s="20"/>
      <c r="D39" s="20"/>
      <c r="E39" s="20"/>
      <c r="F39" s="20"/>
      <c r="G39" s="20"/>
      <c r="H39" s="20"/>
      <c r="I39" s="20"/>
      <c r="J39" s="20"/>
      <c r="K39" s="20"/>
      <c r="L39" s="20"/>
      <c r="M39" s="20"/>
      <c r="N39" s="20"/>
      <c r="O39" s="20"/>
      <c r="P39" s="42"/>
      <c r="Q39" s="32"/>
      <c r="R39" s="32"/>
      <c r="S39" s="32"/>
      <c r="T39" s="32"/>
      <c r="U39" s="32"/>
      <c r="V39" s="20"/>
      <c r="W39" s="20"/>
      <c r="X39" s="20"/>
      <c r="Y39" s="20"/>
      <c r="Z39" s="20"/>
      <c r="AA39" s="20"/>
      <c r="AB39" s="20"/>
      <c r="AC39" s="20"/>
    </row>
    <row r="40" spans="1:29" x14ac:dyDescent="0.3">
      <c r="A40" s="20"/>
      <c r="B40" s="20"/>
      <c r="C40" s="20"/>
      <c r="D40" s="20"/>
      <c r="E40" s="20"/>
      <c r="F40" s="20"/>
      <c r="G40" s="20"/>
      <c r="H40" s="20"/>
      <c r="I40" s="20"/>
      <c r="J40" s="20"/>
      <c r="K40" s="20"/>
      <c r="L40" s="20"/>
      <c r="M40" s="20"/>
      <c r="N40" s="20"/>
      <c r="O40" s="20"/>
      <c r="P40" s="42"/>
      <c r="Q40" s="32"/>
      <c r="R40" s="32"/>
      <c r="S40" s="32"/>
      <c r="T40" s="32"/>
      <c r="U40" s="32"/>
      <c r="V40" s="20"/>
      <c r="W40" s="20"/>
      <c r="X40" s="20"/>
      <c r="Y40" s="20"/>
      <c r="Z40" s="20"/>
      <c r="AA40" s="20"/>
      <c r="AB40" s="20"/>
      <c r="AC40" s="20"/>
    </row>
    <row r="41" spans="1:29" x14ac:dyDescent="0.3">
      <c r="A41" s="20"/>
      <c r="B41" s="20"/>
      <c r="C41" s="20"/>
      <c r="D41" s="20"/>
      <c r="E41" s="20"/>
      <c r="F41" s="20"/>
      <c r="G41" s="20"/>
      <c r="H41" s="20"/>
      <c r="I41" s="20"/>
      <c r="J41" s="20"/>
      <c r="K41" s="20"/>
      <c r="L41" s="20"/>
      <c r="M41" s="20"/>
      <c r="N41" s="20"/>
      <c r="O41" s="20"/>
      <c r="P41" s="42"/>
      <c r="Q41" s="32"/>
      <c r="R41" s="32"/>
      <c r="S41" s="32"/>
      <c r="T41" s="32"/>
      <c r="U41" s="32"/>
      <c r="V41" s="20"/>
      <c r="W41" s="20"/>
      <c r="X41" s="20"/>
      <c r="Y41" s="20"/>
      <c r="Z41" s="20"/>
      <c r="AA41" s="20"/>
      <c r="AB41" s="20"/>
      <c r="AC41" s="20"/>
    </row>
    <row r="42" spans="1:29" x14ac:dyDescent="0.3">
      <c r="A42" s="20"/>
      <c r="B42" s="20"/>
      <c r="C42" s="20"/>
      <c r="D42" s="20"/>
      <c r="E42" s="20"/>
      <c r="F42" s="20"/>
      <c r="G42" s="20"/>
      <c r="H42" s="20"/>
      <c r="I42" s="20"/>
      <c r="J42" s="20"/>
      <c r="K42" s="20"/>
      <c r="L42" s="20"/>
      <c r="M42" s="20"/>
      <c r="N42" s="20"/>
      <c r="O42" s="20"/>
      <c r="P42" s="42"/>
      <c r="Q42" s="32"/>
      <c r="R42" s="32"/>
      <c r="S42" s="32"/>
      <c r="T42" s="32"/>
      <c r="U42" s="32"/>
      <c r="V42" s="20"/>
      <c r="W42" s="20"/>
      <c r="X42" s="20"/>
      <c r="Y42" s="20"/>
      <c r="Z42" s="20"/>
      <c r="AA42" s="20"/>
      <c r="AB42" s="20"/>
      <c r="AC42" s="20"/>
    </row>
  </sheetData>
  <mergeCells count="6">
    <mergeCell ref="L28:N33"/>
    <mergeCell ref="L35:N35"/>
    <mergeCell ref="L36:N36"/>
    <mergeCell ref="L37:N37"/>
    <mergeCell ref="B1:U2"/>
    <mergeCell ref="O17:U17"/>
  </mergeCells>
  <conditionalFormatting sqref="P20:T36">
    <cfRule type="dataBar" priority="1">
      <dataBar>
        <cfvo type="num" val="0"/>
        <cfvo type="formula" val="MAX($P$20:$T$36)*2"/>
        <color rgb="FFFF555A"/>
      </dataBar>
      <extLst>
        <ext xmlns:x14="http://schemas.microsoft.com/office/spreadsheetml/2009/9/main" uri="{B025F937-C7B1-47D3-B67F-A62EFF666E3E}">
          <x14:id>{ACB63CDB-727F-4BBD-B692-DD4153F7F029}</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ACB63CDB-727F-4BBD-B692-DD4153F7F029}">
            <x14:dataBar minLength="0" maxLength="100" gradient="0">
              <x14:cfvo type="num">
                <xm:f>0</xm:f>
              </x14:cfvo>
              <x14:cfvo type="formula">
                <xm:f>MAX($P$20:$T$36)*2</xm:f>
              </x14:cfvo>
              <x14:negativeFillColor rgb="FFFF0000"/>
              <x14:axisColor rgb="FF000000"/>
            </x14:dataBar>
          </x14:cfRule>
          <x14:cfRule type="expression" priority="4" id="{6BCB8B56-150F-4965-9BE3-FA7DAEEB1149}">
            <xm:f>P$18=Sheet1!$H$71</xm:f>
            <x14:dxf>
              <fill>
                <patternFill>
                  <bgColor theme="8" tint="0.39994506668294322"/>
                </patternFill>
              </fill>
              <border>
                <vertical/>
                <horizontal/>
              </border>
            </x14:dxf>
          </x14:cfRule>
          <xm:sqref>P20:T36</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Sheet4</vt:lpstr>
      <vt:lpstr>Sheet1</vt:lpstr>
      <vt:lpstr>Data</vt:lpstr>
      <vt:lpstr>Assets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BINOY V V</cp:lastModifiedBy>
  <dcterms:created xsi:type="dcterms:W3CDTF">2021-03-14T20:21:32Z</dcterms:created>
  <dcterms:modified xsi:type="dcterms:W3CDTF">2026-08-17T07:32:30Z</dcterms:modified>
</cp:coreProperties>
</file>